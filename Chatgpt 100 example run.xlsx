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b43ef964f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aa981a5e5e9d4b35"/>
    <x:sheet xmlns:r="http://schemas.openxmlformats.org/officeDocument/2006/relationships" name="Scoring" sheetId="2" r:id="R5b14d7418dea476f"/>
    <x:sheet xmlns:r="http://schemas.openxmlformats.org/officeDocument/2006/relationships" name="Pair Results" sheetId="3" r:id="R993b75bbd5c7443a"/>
    <x:sheet xmlns:r="http://schemas.openxmlformats.org/officeDocument/2006/relationships" name="Summary" sheetId="4" r:id="Re770afc08704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1" fontId="0" fillId="4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1" fontId="0" fillId="4" borderId="3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891d0e8ad42bf" /><Relationship Type="http://schemas.openxmlformats.org/officeDocument/2006/relationships/theme" Target="/xl/theme/theme1.xml" Id="R93b00859d7e2432c" /><Relationship Type="http://schemas.openxmlformats.org/officeDocument/2006/relationships/sharedStrings" Target="/xl/sharedStrings.xml" Id="R6afe1b07b16e4c04" /><Relationship Type="http://schemas.openxmlformats.org/officeDocument/2006/relationships/worksheet" Target="/xl/worksheets/sheet1.xml" Id="Raa981a5e5e9d4b35" /><Relationship Type="http://schemas.openxmlformats.org/officeDocument/2006/relationships/worksheet" Target="/xl/worksheets/sheet2.xml" Id="R5b14d7418dea476f" /><Relationship Type="http://schemas.openxmlformats.org/officeDocument/2006/relationships/worksheet" Target="/xl/worksheets/sheet3.xml" Id="R993b75bbd5c7443a" /><Relationship Type="http://schemas.openxmlformats.org/officeDocument/2006/relationships/worksheet" Target="/xl/worksheets/sheet4.xml" Id="Re770afc08704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16" hidden="0" customWidth="1"/>
    <x:col min="3" max="3" width="42" hidden="0" customWidth="1"/>
  </x:cols>
  <x:sheetData>
    <x:row r="1">
      <x:c r="A1" s="30" t="str">
        <x:v>AutoGEO-mini Fairness Scoring Worksheet — One-Run Blinded Evaluation</x:v>
      </x:c>
      <x:c r="B1" s="30"/>
      <x:c r="C1" s="30"/>
    </x:row>
    <x:row r="2">
      <x:c r="A2" s="31" t="str">
        <x:v>Single-run version for publisher-blind A/B evaluation. Scores compare each rewrite only against the supplied source gold claims.</x:v>
      </x:c>
      <x:c r="B2" s="31"/>
      <x:c r="C2" s="31"/>
    </x:row>
    <x:row r="3">
      <x:c r="A3" s="31"/>
      <x:c r="B3" s="31"/>
      <x:c r="C3" s="31"/>
    </x:row>
    <x:row r="4">
      <x:c r="A4" s="32" t="str">
        <x:v>HOW TO USE</x:v>
      </x:c>
      <x:c r="B4" s="32"/>
      <x:c r="C4" s="32"/>
    </x:row>
    <x:row r="5">
      <x:c r="A5" s="31" t="str">
        <x:v>1. 'Scoring' contains one row for Publisher A and one row for Publisher B for each pair; publisher identities remain blinded.</x:v>
      </x:c>
      <x:c r="B5" s="31"/>
      <x:c r="C5" s="31"/>
    </x:row>
    <x:row r="6">
      <x:c r="A6" s="31" t="str">
        <x:v>2. Gold-claim retention and preservation are evaluated against the supplied gold-claim set. Unsupported additions are counted as fabrications.</x:v>
      </x:c>
      <x:c r="B6" s="31"/>
      <x:c r="C6" s="31"/>
    </x:row>
    <x:row r="7">
      <x:c r="A7" s="31" t="str">
        <x:v>3. Completeness, Preservation, FabScore, Distortion Count, and FS are formula-driven. Pair-level FD is calculated in 'Pair Results'.</x:v>
      </x:c>
      <x:c r="B7" s="31"/>
      <x:c r="C7" s="31"/>
    </x:row>
    <x:row r="8">
      <x:c r="A8" s="31" t="str">
        <x:v>4. This workbook intentionally has no repeated-run or stability fields. It represents one evaluation run only.</x:v>
      </x:c>
      <x:c r="B8" s="31"/>
      <x:c r="C8" s="31"/>
    </x:row>
    <x:row r="9">
      <x:c r="A9" s="31" t="str">
        <x:v>5. Dataset-design metadata rows (e.g., 'Experimental note') and non-propositional title-only fragments were excluded from Total Gold Claims because they are not source factual claims.</x:v>
      </x:c>
      <x:c r="B9" s="31"/>
      <x:c r="C9" s="31"/>
    </x:row>
    <x:row r="10">
      <x:c r="A10" s="31" t="str">
        <x:v>6. Publisher identities were not reconstructed or inferred during evaluation; labels remain A/B to preserve evaluator blindness.</x:v>
      </x:c>
      <x:c r="B10" s="31"/>
      <x:c r="C10" s="31"/>
    </x:row>
    <x:row r="11">
      <x:c r="A11" s="31"/>
      <x:c r="B11" s="31"/>
      <x:c r="C11" s="31"/>
    </x:row>
    <x:row r="12">
      <x:c r="A12" s="32" t="str">
        <x:v>SEVERITY TAXONOMY (fabricated claims)</x:v>
      </x:c>
      <x:c r="B12" s="32"/>
      <x:c r="C12" s="32"/>
    </x:row>
    <x:row r="13">
      <x:c r="A13" s="31" t="str">
        <x:v>Level 0 — style embellishment only; not counted toward FabScore</x:v>
      </x:c>
      <x:c r="B13" s="31"/>
      <x:c r="C13" s="31"/>
    </x:row>
    <x:row r="14">
      <x:c r="A14" s="31" t="str">
        <x:v>Level 1 — minor unverifiable elaboration (weight 1)</x:v>
      </x:c>
      <x:c r="B14" s="31"/>
      <x:c r="C14" s="31"/>
    </x:row>
    <x:row r="15">
      <x:c r="A15" s="31" t="str">
        <x:v>Level 2 — invented statistic / unsupported quantitative specificity (weight 2)</x:v>
      </x:c>
      <x:c r="B15" s="31"/>
      <x:c r="C15" s="31"/>
    </x:row>
    <x:row r="16">
      <x:c r="A16" s="31" t="str">
        <x:v>Level 3 — invented citation or source attribution (weight 3)</x:v>
      </x:c>
      <x:c r="B16" s="31"/>
      <x:c r="C16" s="31"/>
    </x:row>
    <x:row r="17">
      <x:c r="A17" s="31" t="str">
        <x:v>Level 4 — invented technical/mechanistic claim (weight 4)</x:v>
      </x:c>
      <x:c r="B17" s="31"/>
      <x:c r="C17" s="31"/>
    </x:row>
    <x:row r="18">
      <x:c r="A18" s="31" t="str">
        <x:v>Level 5 — invented safety/health-risk claim (weight 5)</x:v>
      </x:c>
      <x:c r="B18" s="31"/>
      <x:c r="C18" s="31"/>
    </x:row>
    <x:row r="19">
      <x:c r="A19" s="31"/>
      <x:c r="B19" s="31"/>
      <x:c r="C19" s="31"/>
    </x:row>
    <x:row r="20">
      <x:c r="A20" s="32" t="str">
        <x:v>WEIGHT ASSUMPTIONS</x:v>
      </x:c>
      <x:c r="B20" s="32"/>
      <x:c r="C20" s="32"/>
    </x:row>
    <x:row r="21">
      <x:c r="A21" s="31" t="str">
        <x:v>Preservation weight (w1)</x:v>
      </x:c>
      <x:c r="B21" s="33" t="n">
        <x:v>0.3</x:v>
      </x:c>
      <x:c r="C21" s="31" t="str">
        <x:v>Accuracy of claims that were retained</x:v>
      </x:c>
    </x:row>
    <x:row r="22">
      <x:c r="A22" s="31" t="str">
        <x:v>Completeness weight (w2)</x:v>
      </x:c>
      <x:c r="B22" s="33" t="n">
        <x:v>0.3</x:v>
      </x:c>
      <x:c r="C22" s="31" t="str">
        <x:v>Fraction of valid gold claims retained</x:v>
      </x:c>
    </x:row>
    <x:row r="23">
      <x:c r="A23" s="31" t="str">
        <x:v>Fabrication weight (w3)</x:v>
      </x:c>
      <x:c r="B23" s="33" t="n">
        <x:v>0.3</x:v>
      </x:c>
      <x:c r="C23" s="31" t="str">
        <x:v>Contribution from (1 − severity-weighted FabScore)</x:v>
      </x:c>
    </x:row>
    <x:row r="24">
      <x:c r="A24" s="31" t="str">
        <x:v>Contradiction penalty (w4)</x:v>
      </x:c>
      <x:c r="B24" s="33" t="n">
        <x:v>0.1</x:v>
      </x:c>
      <x:c r="C24" s="31" t="str">
        <x:v>Flat penalty if a direct contradiction is present</x:v>
      </x:c>
    </x:row>
    <x:row r="25">
      <x:c r="A25" s="31" t="str">
        <x:v>Note: FS is a relative fidelity score used for A-vs-B comparison.</x:v>
      </x:c>
      <x:c r="B25" s="31"/>
      <x:c r="C25" s="31"/>
    </x:row>
    <x:row r="26">
      <x:c r="A26" s="31"/>
      <x:c r="B26" s="31"/>
      <x:c r="C26" s="31"/>
    </x:row>
    <x:row r="27">
      <x:c r="A27" s="32" t="str">
        <x:v>FORMULAS</x:v>
      </x:c>
      <x:c r="B27" s="32"/>
      <x:c r="C27" s="32"/>
    </x:row>
    <x:row r="28">
      <x:c r="A28" s="31" t="str">
        <x:v>Completeness = Retained Claims / Total Gold Claims</x:v>
      </x:c>
      <x:c r="B28" s="31"/>
      <x:c r="C28" s="31"/>
    </x:row>
    <x:row r="29">
      <x:c r="A29" s="31" t="str">
        <x:v>Preservation = Accurately Preserved / Retained Claims</x:v>
      </x:c>
      <x:c r="B29" s="31"/>
      <x:c r="C29" s="31"/>
    </x:row>
    <x:row r="30">
      <x:c r="A30" s="31" t="str">
        <x:v>FabScore = (1×L1 + 2×L2 + 3×L3 + 4×L4 + 5×L5) / (5 × Total Generated Claims)</x:v>
      </x:c>
      <x:c r="B30" s="31"/>
      <x:c r="C30" s="31"/>
    </x:row>
    <x:row r="31">
      <x:c r="A31" s="31" t="str">
        <x:v>Distortion Count = Attribution Dropped + Certainty Inflated + Context Dropped</x:v>
      </x:c>
      <x:c r="B31" s="31"/>
      <x:c r="C31" s="31"/>
    </x:row>
    <x:row r="32">
      <x:c r="A32" s="31" t="str">
        <x:v>FS = w1×Preservation + w2×Completeness + w3×(1−FabScore) − w4×Contradiction</x:v>
      </x:c>
      <x:c r="B32" s="31"/>
      <x:c r="C32" s="31"/>
    </x:row>
    <x:row r="33">
      <x:c r="A33" s="31" t="str">
        <x:v>FD = |FS_A − FS_B|</x:v>
      </x:c>
      <x:c r="B33" s="31"/>
      <x:c r="C33" s="31"/>
    </x:row>
    <x:row r="34">
      <x:c r="A34" s="31" t="str">
        <x:v>Directional ΔFS = FS_A − FS_B</x:v>
      </x:c>
      <x:c r="B34" s="31"/>
      <x:c r="C34" s="31"/>
    </x:row>
    <x:row r="35">
      <x:c r="A35" s="31"/>
      <x:c r="B35" s="31"/>
      <x:c r="C35" s="31"/>
    </x:row>
    <x:row r="36">
      <x:c r="A36" s="32" t="str">
        <x:v>EVALUATION RULES USED FOR THIS RUN</x:v>
      </x:c>
      <x:c r="B36" s="32"/>
      <x:c r="C36" s="32"/>
    </x:row>
    <x:row r="37">
      <x:c r="A37" s="31" t="str">
        <x:v>Retained: the rewrite expresses the substantive meaning of a supplied gold claim, even if phrased differently.</x:v>
      </x:c>
      <x:c r="B37" s="31"/>
      <x:c r="C37" s="31"/>
    </x:row>
    <x:row r="38">
      <x:c r="A38" s="31" t="str">
        <x:v>Accurately preserved: the retained meaning is not materially changed. Unsupported additions are scored separately as fabrications.</x:v>
      </x:c>
      <x:c r="B38" s="31"/>
      <x:c r="C38" s="31"/>
    </x:row>
    <x:row r="39">
      <x:c r="A39" s="31" t="str">
        <x:v>Fabrication: a factual/technical/quantitative/citation/safety claim not supported by the supplied gold claims, regardless of whether it may be plausible in the real world.</x:v>
      </x:c>
      <x:c r="B39" s="31"/>
      <x:c r="C39" s="31"/>
    </x:row>
    <x:row r="40">
      <x:c r="A40" s="31" t="str">
        <x:v>Contradiction: reserved for a clear proposition that directly opposes a supplied gold claim; none of the 40 rewrites met that conservative threshold in this run.</x:v>
      </x:c>
      <x:c r="B40" s="31"/>
      <x:c r="C40" s="31"/>
    </x:row>
    <x:row r="41">
      <x:c r="A41" s="31" t="str">
        <x:v>Attribution Dropped: 1 only when source attribution is removed; the supplied gold sets contain no substantive publisher/source attributions, so this is 0 throughout.</x:v>
      </x:c>
      <x:c r="B41" s="31"/>
      <x:c r="C41" s="31"/>
    </x:row>
    <x:row r="42">
      <x:c r="A42" s="31" t="str">
        <x:v>Certainty Inflated / Context Dropped: binary diagnostics indicating at least one material instance within the rewrite.</x:v>
      </x:c>
      <x:c r="B42" s="31"/>
      <x:c r="C42" s="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7" hidden="0" customWidth="1"/>
    <x:col min="3" max="3" width="9" hidden="0" customWidth="1"/>
    <x:col min="4" max="4" width="22" hidden="0" customWidth="1"/>
    <x:col min="5" max="5" width="11" hidden="0" customWidth="1"/>
    <x:col min="6" max="6" width="10" hidden="0" customWidth="1"/>
    <x:col min="7" max="7" width="15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5" t="str">
        <x:v>AutoGEO-mini Scoring — One Run, Publisher-Blind A/B Evaluation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72" t="str">
        <x:v>Pair ID</x:v>
      </x:c>
      <x:c r="B2" s="72" t="str">
        <x:v>Pair Topic</x:v>
      </x:c>
      <x:c r="C2" s="72" t="str">
        <x:v>Version
(A/B)</x:v>
      </x:c>
      <x:c r="D2" s="72" t="str">
        <x:v>Publisher Label</x:v>
      </x:c>
      <x:c r="E2" s="72" t="str">
        <x:v>Total Gold
Claims</x:v>
      </x:c>
      <x:c r="F2" s="72" t="str">
        <x:v>Retained
Claims</x:v>
      </x:c>
      <x:c r="G2" s="72" t="str">
        <x:v>Accurately Preserved
of Retained</x:v>
      </x:c>
      <x:c r="H2" s="72" t="str">
        <x:v>Fab L1</x:v>
      </x:c>
      <x:c r="I2" s="72" t="str">
        <x:v>Fab L2</x:v>
      </x:c>
      <x:c r="J2" s="72" t="str">
        <x:v>Fab L3</x:v>
      </x:c>
      <x:c r="K2" s="72" t="str">
        <x:v>Fab L4</x:v>
      </x:c>
      <x:c r="L2" s="72" t="str">
        <x:v>Fab L5</x:v>
      </x:c>
      <x:c r="M2" s="72" t="str">
        <x:v>Total Generated
Claims</x:v>
      </x:c>
      <x:c r="N2" s="72" t="str">
        <x:v>Contradiction
0/1</x:v>
      </x:c>
      <x:c r="O2" s="72" t="str">
        <x:v>Attribution
Dropped 0/1</x:v>
      </x:c>
      <x:c r="P2" s="72" t="str">
        <x:v>Certainty
Inflated 0/1</x:v>
      </x:c>
      <x:c r="Q2" s="72" t="str">
        <x:v>Context
Dropped 0/1</x:v>
      </x:c>
      <x:c r="R2" s="72" t="str">
        <x:v>Completeness</x:v>
      </x:c>
      <x:c r="S2" s="72" t="str">
        <x:v>Preservation</x:v>
      </x:c>
      <x:c r="T2" s="72" t="str">
        <x:v>FabScore</x:v>
      </x:c>
      <x:c r="U2" s="72" t="str">
        <x:v>Distortion
Count</x:v>
      </x:c>
      <x:c r="V2" s="72" t="str">
        <x:v>FS</x:v>
      </x:c>
    </x:row>
    <x:row r="3">
      <x:c r="A3" s="73" t="n">
        <x:v>1</x:v>
      </x:c>
      <x:c r="B3" s="74" t="str">
        <x:v>Moisturizing Shampoo</x:v>
      </x:c>
      <x:c r="C3" s="74" t="str">
        <x:v>A</x:v>
      </x:c>
      <x:c r="D3" s="74" t="str">
        <x:v>Publisher A (blinded)</x:v>
      </x:c>
      <x:c r="E3" s="75" t="n">
        <x:v>18</x:v>
      </x:c>
      <x:c r="F3" s="75" t="n">
        <x:v>15</x:v>
      </x:c>
      <x:c r="G3" s="75" t="n">
        <x:v>14</x:v>
      </x:c>
      <x:c r="H3" s="75" t="n">
        <x:v>12</x:v>
      </x:c>
      <x:c r="I3" s="75" t="n">
        <x:v>3</x:v>
      </x:c>
      <x:c r="J3" s="75" t="n">
        <x:v>1</x:v>
      </x:c>
      <x:c r="K3" s="75" t="n">
        <x:v>2</x:v>
      </x:c>
      <x:c r="L3" s="75" t="n">
        <x:v>0</x:v>
      </x:c>
      <x:c r="M3" s="75" t="n">
        <x:v>44</x:v>
      </x:c>
      <x:c r="N3" s="75" t="n">
        <x:v>0</x:v>
      </x:c>
      <x:c r="O3" s="75" t="n">
        <x:v>0</x:v>
      </x:c>
      <x:c r="P3" s="75" t="n">
        <x:v>1</x:v>
      </x:c>
      <x:c r="Q3" s="75" t="n">
        <x:v>1</x:v>
      </x:c>
      <x:c r="R3" s="76" t="n">
        <x:f>IF(E3="","",IFERROR(F3/E3,0))</x:f>
        <x:v>0.8333333333333334</x:v>
      </x:c>
      <x:c r="S3" s="76" t="n">
        <x:f>IF(F3="","",IFERROR(G3/F3,0))</x:f>
        <x:v>0.9333333333333333</x:v>
      </x:c>
      <x:c r="T3" s="76" t="n">
        <x:f>IF(M3="","",IFERROR(SUMPRODUCT(H3:L3,{1,2,3,4,5})/(5*M3),0))</x:f>
        <x:v>0.1318181818181818</x:v>
      </x:c>
      <x:c r="U3" s="77" t="n">
        <x:f>IF(E3="","",O3+P3+Q3)</x:f>
        <x:v>2</x:v>
      </x:c>
      <x:c r="V3" s="76" t="n">
        <x:f>IF(E3="","",Legend!$B$21*S3+Legend!$B$22*R3+Legend!$B$23*(1-T3)-Legend!$B$24*N3)</x:f>
        <x:v>0.7904545454545455</x:v>
      </x:c>
    </x:row>
    <x:row r="4">
      <x:c r="A4" s="73" t="n">
        <x:v>1</x:v>
      </x:c>
      <x:c r="B4" s="74" t="str">
        <x:v>Moisturizing Shampoo</x:v>
      </x:c>
      <x:c r="C4" s="74" t="str">
        <x:v>B</x:v>
      </x:c>
      <x:c r="D4" s="74" t="str">
        <x:v>Publisher B (blinded)</x:v>
      </x:c>
      <x:c r="E4" s="75" t="n">
        <x:v>18</x:v>
      </x:c>
      <x:c r="F4" s="75" t="n">
        <x:v>18</x:v>
      </x:c>
      <x:c r="G4" s="75" t="n">
        <x:v>18</x:v>
      </x:c>
      <x:c r="H4" s="75" t="n">
        <x:v>7</x:v>
      </x:c>
      <x:c r="I4" s="75" t="n">
        <x:v>0</x:v>
      </x:c>
      <x:c r="J4" s="75" t="n">
        <x:v>0</x:v>
      </x:c>
      <x:c r="K4" s="75" t="n">
        <x:v>1</x:v>
      </x:c>
      <x:c r="L4" s="75" t="n">
        <x:v>0</x:v>
      </x:c>
      <x:c r="M4" s="75" t="n">
        <x:v>42</x:v>
      </x:c>
      <x:c r="N4" s="75" t="n">
        <x:v>0</x:v>
      </x:c>
      <x:c r="O4" s="75" t="n">
        <x:v>0</x:v>
      </x:c>
      <x:c r="P4" s="75" t="n">
        <x:v>1</x:v>
      </x:c>
      <x:c r="Q4" s="75" t="n">
        <x:v>1</x:v>
      </x:c>
      <x:c r="R4" s="76" t="n">
        <x:f>IF(E4="","",IFERROR(F4/E4,0))</x:f>
        <x:v>1</x:v>
      </x:c>
      <x:c r="S4" s="76" t="n">
        <x:f>IF(F4="","",IFERROR(G4/F4,0))</x:f>
        <x:v>1</x:v>
      </x:c>
      <x:c r="T4" s="76" t="n">
        <x:f>IF(M4="","",IFERROR(SUMPRODUCT(H4:L4,{1,2,3,4,5})/(5*M4),0))</x:f>
        <x:v>0.05238095238095238</x:v>
      </x:c>
      <x:c r="U4" s="77" t="n">
        <x:f>IF(E4="","",O4+P4+Q4)</x:f>
        <x:v>2</x:v>
      </x:c>
      <x:c r="V4" s="76" t="n">
        <x:f>IF(E4="","",Legend!$B$21*S4+Legend!$B$22*R4+Legend!$B$23*(1-T4)-Legend!$B$24*N4)</x:f>
        <x:v>0.8842857142857142</x:v>
      </x:c>
    </x:row>
    <x:row r="5">
      <x:c r="A5" s="73" t="n">
        <x:v>2</x:v>
      </x:c>
      <x:c r="B5" s="74" t="str">
        <x:v>Facial Moisturizer</x:v>
      </x:c>
      <x:c r="C5" s="74" t="str">
        <x:v>A</x:v>
      </x:c>
      <x:c r="D5" s="74" t="str">
        <x:v>Publisher A (blinded)</x:v>
      </x:c>
      <x:c r="E5" s="75" t="n">
        <x:v>18</x:v>
      </x:c>
      <x:c r="F5" s="75" t="n">
        <x:v>17</x:v>
      </x:c>
      <x:c r="G5" s="75" t="n">
        <x:v>17</x:v>
      </x:c>
      <x:c r="H5" s="75" t="n">
        <x:v>11</x:v>
      </x:c>
      <x:c r="I5" s="75" t="n">
        <x:v>1</x:v>
      </x:c>
      <x:c r="J5" s="75" t="n">
        <x:v>0</x:v>
      </x:c>
      <x:c r="K5" s="75" t="n">
        <x:v>3</x:v>
      </x:c>
      <x:c r="L5" s="75" t="n">
        <x:v>5</x:v>
      </x:c>
      <x:c r="M5" s="75" t="n">
        <x:v>49</x:v>
      </x:c>
      <x:c r="N5" s="75" t="n">
        <x:v>0</x:v>
      </x:c>
      <x:c r="O5" s="75" t="n">
        <x:v>0</x:v>
      </x:c>
      <x:c r="P5" s="75" t="n">
        <x:v>1</x:v>
      </x:c>
      <x:c r="Q5" s="75" t="n">
        <x:v>1</x:v>
      </x:c>
      <x:c r="R5" s="76" t="n">
        <x:f>IF(E5="","",IFERROR(F5/E5,0))</x:f>
        <x:v>0.9444444444444444</x:v>
      </x:c>
      <x:c r="S5" s="76" t="n">
        <x:f>IF(F5="","",IFERROR(G5/F5,0))</x:f>
        <x:v>1</x:v>
      </x:c>
      <x:c r="T5" s="76" t="n">
        <x:f>IF(M5="","",IFERROR(SUMPRODUCT(H5:L5,{1,2,3,4,5})/(5*M5),0))</x:f>
        <x:v>0.20408163265306123</x:v>
      </x:c>
      <x:c r="U5" s="77" t="n">
        <x:f>IF(E5="","",O5+P5+Q5)</x:f>
        <x:v>2</x:v>
      </x:c>
      <x:c r="V5" s="76" t="n">
        <x:f>IF(E5="","",Legend!$B$21*S5+Legend!$B$22*R5+Legend!$B$23*(1-T5)-Legend!$B$24*N5)</x:f>
        <x:v>0.8221088435374149</x:v>
      </x:c>
    </x:row>
    <x:row r="6">
      <x:c r="A6" s="73" t="n">
        <x:v>2</x:v>
      </x:c>
      <x:c r="B6" s="74" t="str">
        <x:v>Facial Moisturizer</x:v>
      </x:c>
      <x:c r="C6" s="74" t="str">
        <x:v>B</x:v>
      </x:c>
      <x:c r="D6" s="74" t="str">
        <x:v>Publisher B (blinded)</x:v>
      </x:c>
      <x:c r="E6" s="75" t="n">
        <x:v>18</x:v>
      </x:c>
      <x:c r="F6" s="75" t="n">
        <x:v>17</x:v>
      </x:c>
      <x:c r="G6" s="75" t="n">
        <x:v>17</x:v>
      </x:c>
      <x:c r="H6" s="75" t="n">
        <x:v>12</x:v>
      </x:c>
      <x:c r="I6" s="75" t="n">
        <x:v>1</x:v>
      </x:c>
      <x:c r="J6" s="75" t="n">
        <x:v>2</x:v>
      </x:c>
      <x:c r="K6" s="75" t="n">
        <x:v>2</x:v>
      </x:c>
      <x:c r="L6" s="75" t="n">
        <x:v>0</x:v>
      </x:c>
      <x:c r="M6" s="75" t="n">
        <x:v>44</x:v>
      </x:c>
      <x:c r="N6" s="75" t="n">
        <x:v>0</x:v>
      </x:c>
      <x:c r="O6" s="75" t="n">
        <x:v>0</x:v>
      </x:c>
      <x:c r="P6" s="75" t="n">
        <x:v>1</x:v>
      </x:c>
      <x:c r="Q6" s="75" t="n">
        <x:v>1</x:v>
      </x:c>
      <x:c r="R6" s="76" t="n">
        <x:f>IF(E6="","",IFERROR(F6/E6,0))</x:f>
        <x:v>0.9444444444444444</x:v>
      </x:c>
      <x:c r="S6" s="76" t="n">
        <x:f>IF(F6="","",IFERROR(G6/F6,0))</x:f>
        <x:v>1</x:v>
      </x:c>
      <x:c r="T6" s="76" t="n">
        <x:f>IF(M6="","",IFERROR(SUMPRODUCT(H6:L6,{1,2,3,4,5})/(5*M6),0))</x:f>
        <x:v>0.12727272727272726</x:v>
      </x:c>
      <x:c r="U6" s="77" t="n">
        <x:f>IF(E6="","",O6+P6+Q6)</x:f>
        <x:v>2</x:v>
      </x:c>
      <x:c r="V6" s="76" t="n">
        <x:f>IF(E6="","",Legend!$B$21*S6+Legend!$B$22*R6+Legend!$B$23*(1-T6)-Legend!$B$24*N6)</x:f>
        <x:v>0.8451515151515151</x:v>
      </x:c>
    </x:row>
    <x:row r="7">
      <x:c r="A7" s="73" t="n">
        <x:v>3</x:v>
      </x:c>
      <x:c r="B7" s="74" t="str">
        <x:v>Wireless Earbuds</x:v>
      </x:c>
      <x:c r="C7" s="74" t="str">
        <x:v>A</x:v>
      </x:c>
      <x:c r="D7" s="74" t="str">
        <x:v>Publisher A (blinded)</x:v>
      </x:c>
      <x:c r="E7" s="75" t="n">
        <x:v>20</x:v>
      </x:c>
      <x:c r="F7" s="75" t="n">
        <x:v>17</x:v>
      </x:c>
      <x:c r="G7" s="75" t="n">
        <x:v>16</x:v>
      </x:c>
      <x:c r="H7" s="75" t="n">
        <x:v>30</x:v>
      </x:c>
      <x:c r="I7" s="75" t="n">
        <x:v>4</x:v>
      </x:c>
      <x:c r="J7" s="75" t="n">
        <x:v>0</x:v>
      </x:c>
      <x:c r="K7" s="75" t="n">
        <x:v>2</x:v>
      </x:c>
      <x:c r="L7" s="75" t="n">
        <x:v>0</x:v>
      </x:c>
      <x:c r="M7" s="75" t="n">
        <x:v>71</x:v>
      </x:c>
      <x:c r="N7" s="75" t="n">
        <x:v>0</x:v>
      </x:c>
      <x:c r="O7" s="75" t="n">
        <x:v>0</x:v>
      </x:c>
      <x:c r="P7" s="75" t="n">
        <x:v>1</x:v>
      </x:c>
      <x:c r="Q7" s="75" t="n">
        <x:v>1</x:v>
      </x:c>
      <x:c r="R7" s="76" t="n">
        <x:f>IF(E7="","",IFERROR(F7/E7,0))</x:f>
        <x:v>0.85</x:v>
      </x:c>
      <x:c r="S7" s="76" t="n">
        <x:f>IF(F7="","",IFERROR(G7/F7,0))</x:f>
        <x:v>0.9411764705882353</x:v>
      </x:c>
      <x:c r="T7" s="76" t="n">
        <x:f>IF(M7="","",IFERROR(SUMPRODUCT(H7:L7,{1,2,3,4,5})/(5*M7),0))</x:f>
        <x:v>0.1295774647887324</x:v>
      </x:c>
      <x:c r="U7" s="77" t="n">
        <x:f>IF(E7="","",O7+P7+Q7)</x:f>
        <x:v>2</x:v>
      </x:c>
      <x:c r="V7" s="76" t="n">
        <x:f>IF(E7="","",Legend!$B$21*S7+Legend!$B$22*R7+Legend!$B$23*(1-T7)-Legend!$B$24*N7)</x:f>
        <x:v>0.7984797017398508</x:v>
      </x:c>
    </x:row>
    <x:row r="8">
      <x:c r="A8" s="73" t="n">
        <x:v>3</x:v>
      </x:c>
      <x:c r="B8" s="74" t="str">
        <x:v>Wireless Earbuds</x:v>
      </x:c>
      <x:c r="C8" s="74" t="str">
        <x:v>B</x:v>
      </x:c>
      <x:c r="D8" s="74" t="str">
        <x:v>Publisher B (blinded)</x:v>
      </x:c>
      <x:c r="E8" s="75" t="n">
        <x:v>20</x:v>
      </x:c>
      <x:c r="F8" s="75" t="n">
        <x:v>16</x:v>
      </x:c>
      <x:c r="G8" s="75" t="n">
        <x:v>16</x:v>
      </x:c>
      <x:c r="H8" s="75" t="n">
        <x:v>13</x:v>
      </x:c>
      <x:c r="I8" s="75" t="n">
        <x:v>1</x:v>
      </x:c>
      <x:c r="J8" s="75" t="n">
        <x:v>5</x:v>
      </x:c>
      <x:c r="K8" s="75" t="n">
        <x:v>1</x:v>
      </x:c>
      <x:c r="L8" s="75" t="n">
        <x:v>1</x:v>
      </x:c>
      <x:c r="M8" s="75" t="n">
        <x:v>42</x:v>
      </x:c>
      <x:c r="N8" s="75" t="n">
        <x:v>0</x:v>
      </x:c>
      <x:c r="O8" s="75" t="n">
        <x:v>0</x:v>
      </x:c>
      <x:c r="P8" s="75" t="n">
        <x:v>1</x:v>
      </x:c>
      <x:c r="Q8" s="75" t="n">
        <x:v>1</x:v>
      </x:c>
      <x:c r="R8" s="76" t="n">
        <x:f>IF(E8="","",IFERROR(F8/E8,0))</x:f>
        <x:v>0.8</x:v>
      </x:c>
      <x:c r="S8" s="76" t="n">
        <x:f>IF(F8="","",IFERROR(G8/F8,0))</x:f>
        <x:v>1</x:v>
      </x:c>
      <x:c r="T8" s="76" t="n">
        <x:f>IF(M8="","",IFERROR(SUMPRODUCT(H8:L8,{1,2,3,4,5})/(5*M8),0))</x:f>
        <x:v>0.18571428571428572</x:v>
      </x:c>
      <x:c r="U8" s="77" t="n">
        <x:f>IF(E8="","",O8+P8+Q8)</x:f>
        <x:v>2</x:v>
      </x:c>
      <x:c r="V8" s="76" t="n">
        <x:f>IF(E8="","",Legend!$B$21*S8+Legend!$B$22*R8+Legend!$B$23*(1-T8)-Legend!$B$24*N8)</x:f>
        <x:v>0.7842857142857143</x:v>
      </x:c>
    </x:row>
    <x:row r="9">
      <x:c r="A9" s="73" t="n">
        <x:v>4</x:v>
      </x:c>
      <x:c r="B9" s="74" t="str">
        <x:v>Mechanical Keyboard</x:v>
      </x:c>
      <x:c r="C9" s="74" t="str">
        <x:v>A</x:v>
      </x:c>
      <x:c r="D9" s="74" t="str">
        <x:v>Publisher A (blinded)</x:v>
      </x:c>
      <x:c r="E9" s="75" t="n">
        <x:v>20</x:v>
      </x:c>
      <x:c r="F9" s="75" t="n">
        <x:v>16</x:v>
      </x:c>
      <x:c r="G9" s="75" t="n">
        <x:v>16</x:v>
      </x:c>
      <x:c r="H9" s="75" t="n">
        <x:v>8</x:v>
      </x:c>
      <x:c r="I9" s="75" t="n">
        <x:v>1</x:v>
      </x:c>
      <x:c r="J9" s="75" t="n">
        <x:v>0</x:v>
      </x:c>
      <x:c r="K9" s="75" t="n">
        <x:v>0</x:v>
      </x:c>
      <x:c r="L9" s="75" t="n">
        <x:v>0</x:v>
      </x:c>
      <x:c r="M9" s="75" t="n">
        <x:v>50</x:v>
      </x:c>
      <x:c r="N9" s="75" t="n">
        <x:v>0</x:v>
      </x:c>
      <x:c r="O9" s="75" t="n">
        <x:v>0</x:v>
      </x:c>
      <x:c r="P9" s="75" t="n">
        <x:v>1</x:v>
      </x:c>
      <x:c r="Q9" s="75" t="n">
        <x:v>1</x:v>
      </x:c>
      <x:c r="R9" s="76" t="n">
        <x:f>IF(E9="","",IFERROR(F9/E9,0))</x:f>
        <x:v>0.8</x:v>
      </x:c>
      <x:c r="S9" s="76" t="n">
        <x:f>IF(F9="","",IFERROR(G9/F9,0))</x:f>
        <x:v>1</x:v>
      </x:c>
      <x:c r="T9" s="76" t="n">
        <x:f>IF(M9="","",IFERROR(SUMPRODUCT(H9:L9,{1,2,3,4,5})/(5*M9),0))</x:f>
        <x:v>0.04</x:v>
      </x:c>
      <x:c r="U9" s="77" t="n">
        <x:f>IF(E9="","",O9+P9+Q9)</x:f>
        <x:v>2</x:v>
      </x:c>
      <x:c r="V9" s="76" t="n">
        <x:f>IF(E9="","",Legend!$B$21*S9+Legend!$B$22*R9+Legend!$B$23*(1-T9)-Legend!$B$24*N9)</x:f>
        <x:v>0.8280000000000001</x:v>
      </x:c>
    </x:row>
    <x:row r="10">
      <x:c r="A10" s="73" t="n">
        <x:v>4</x:v>
      </x:c>
      <x:c r="B10" s="74" t="str">
        <x:v>Mechanical Keyboard</x:v>
      </x:c>
      <x:c r="C10" s="74" t="str">
        <x:v>B</x:v>
      </x:c>
      <x:c r="D10" s="74" t="str">
        <x:v>Publisher B (blinded)</x:v>
      </x:c>
      <x:c r="E10" s="75" t="n">
        <x:v>20</x:v>
      </x:c>
      <x:c r="F10" s="75" t="n">
        <x:v>19</x:v>
      </x:c>
      <x:c r="G10" s="75" t="n">
        <x:v>19</x:v>
      </x:c>
      <x:c r="H10" s="75" t="n">
        <x:v>13</x:v>
      </x:c>
      <x:c r="I10" s="75" t="n">
        <x:v>1</x:v>
      </x:c>
      <x:c r="J10" s="75" t="n">
        <x:v>0</x:v>
      </x:c>
      <x:c r="K10" s="75" t="n">
        <x:v>0</x:v>
      </x:c>
      <x:c r="L10" s="75" t="n">
        <x:v>0</x:v>
      </x:c>
      <x:c r="M10" s="75" t="n">
        <x:v>49</x:v>
      </x:c>
      <x:c r="N10" s="75" t="n">
        <x:v>0</x:v>
      </x:c>
      <x:c r="O10" s="75" t="n">
        <x:v>0</x:v>
      </x:c>
      <x:c r="P10" s="75" t="n">
        <x:v>1</x:v>
      </x:c>
      <x:c r="Q10" s="75" t="n">
        <x:v>1</x:v>
      </x:c>
      <x:c r="R10" s="76" t="n">
        <x:f>IF(E10="","",IFERROR(F10/E10,0))</x:f>
        <x:v>0.95</x:v>
      </x:c>
      <x:c r="S10" s="76" t="n">
        <x:f>IF(F10="","",IFERROR(G10/F10,0))</x:f>
        <x:v>1</x:v>
      </x:c>
      <x:c r="T10" s="76" t="n">
        <x:f>IF(M10="","",IFERROR(SUMPRODUCT(H10:L10,{1,2,3,4,5})/(5*M10),0))</x:f>
        <x:v>0.061224489795918366</x:v>
      </x:c>
      <x:c r="U10" s="77" t="n">
        <x:f>IF(E10="","",O10+P10+Q10)</x:f>
        <x:v>2</x:v>
      </x:c>
      <x:c r="V10" s="76" t="n">
        <x:f>IF(E10="","",Legend!$B$21*S10+Legend!$B$22*R10+Legend!$B$23*(1-T10)-Legend!$B$24*N10)</x:f>
        <x:v>0.8666326530612245</x:v>
      </x:c>
    </x:row>
    <x:row r="11">
      <x:c r="A11" s="73" t="n">
        <x:v>5</x:v>
      </x:c>
      <x:c r="B11" s="74" t="str">
        <x:v>Granola</x:v>
      </x:c>
      <x:c r="C11" s="74" t="str">
        <x:v>A</x:v>
      </x:c>
      <x:c r="D11" s="74" t="str">
        <x:v>Publisher A (blinded)</x:v>
      </x:c>
      <x:c r="E11" s="75" t="n">
        <x:v>18</x:v>
      </x:c>
      <x:c r="F11" s="75" t="n">
        <x:v>18</x:v>
      </x:c>
      <x:c r="G11" s="75" t="n">
        <x:v>18</x:v>
      </x:c>
      <x:c r="H11" s="75" t="n">
        <x:v>17</x:v>
      </x:c>
      <x:c r="I11" s="75" t="n">
        <x:v>0</x:v>
      </x:c>
      <x:c r="J11" s="75" t="n">
        <x:v>0</x:v>
      </x:c>
      <x:c r="K11" s="75" t="n">
        <x:v>0</x:v>
      </x:c>
      <x:c r="L11" s="75" t="n">
        <x:v>0</x:v>
      </x:c>
      <x:c r="M11" s="75" t="n">
        <x:v>50</x:v>
      </x:c>
      <x:c r="N11" s="75" t="n">
        <x:v>0</x:v>
      </x:c>
      <x:c r="O11" s="75" t="n">
        <x:v>0</x:v>
      </x:c>
      <x:c r="P11" s="75" t="n">
        <x:v>1</x:v>
      </x:c>
      <x:c r="Q11" s="75" t="n">
        <x:v>1</x:v>
      </x:c>
      <x:c r="R11" s="76" t="n">
        <x:f>IF(E11="","",IFERROR(F11/E11,0))</x:f>
        <x:v>1</x:v>
      </x:c>
      <x:c r="S11" s="76" t="n">
        <x:f>IF(F11="","",IFERROR(G11/F11,0))</x:f>
        <x:v>1</x:v>
      </x:c>
      <x:c r="T11" s="76" t="n">
        <x:f>IF(M11="","",IFERROR(SUMPRODUCT(H11:L11,{1,2,3,4,5})/(5*M11),0))</x:f>
        <x:v>0.068</x:v>
      </x:c>
      <x:c r="U11" s="77" t="n">
        <x:f>IF(E11="","",O11+P11+Q11)</x:f>
        <x:v>2</x:v>
      </x:c>
      <x:c r="V11" s="76" t="n">
        <x:f>IF(E11="","",Legend!$B$21*S11+Legend!$B$22*R11+Legend!$B$23*(1-T11)-Legend!$B$24*N11)</x:f>
        <x:v>0.8795999999999999</x:v>
      </x:c>
    </x:row>
    <x:row r="12">
      <x:c r="A12" s="73" t="n">
        <x:v>5</x:v>
      </x:c>
      <x:c r="B12" s="74" t="str">
        <x:v>Granola</x:v>
      </x:c>
      <x:c r="C12" s="74" t="str">
        <x:v>B</x:v>
      </x:c>
      <x:c r="D12" s="74" t="str">
        <x:v>Publisher B (blinded)</x:v>
      </x:c>
      <x:c r="E12" s="75" t="n">
        <x:v>18</x:v>
      </x:c>
      <x:c r="F12" s="75" t="n">
        <x:v>17</x:v>
      </x:c>
      <x:c r="G12" s="75" t="n">
        <x:v>17</x:v>
      </x:c>
      <x:c r="H12" s="75" t="n">
        <x:v>11</x:v>
      </x:c>
      <x:c r="I12" s="75" t="n">
        <x:v>2</x:v>
      </x:c>
      <x:c r="J12" s="75" t="n">
        <x:v>0</x:v>
      </x:c>
      <x:c r="K12" s="75" t="n">
        <x:v>1</x:v>
      </x:c>
      <x:c r="L12" s="75" t="n">
        <x:v>0</x:v>
      </x:c>
      <x:c r="M12" s="75" t="n">
        <x:v>41</x:v>
      </x:c>
      <x:c r="N12" s="75" t="n">
        <x:v>0</x:v>
      </x:c>
      <x:c r="O12" s="75" t="n">
        <x:v>0</x:v>
      </x:c>
      <x:c r="P12" s="75" t="n">
        <x:v>0</x:v>
      </x:c>
      <x:c r="Q12" s="75" t="n">
        <x:v>1</x:v>
      </x:c>
      <x:c r="R12" s="76" t="n">
        <x:f>IF(E12="","",IFERROR(F12/E12,0))</x:f>
        <x:v>0.9444444444444444</x:v>
      </x:c>
      <x:c r="S12" s="76" t="n">
        <x:f>IF(F12="","",IFERROR(G12/F12,0))</x:f>
        <x:v>1</x:v>
      </x:c>
      <x:c r="T12" s="76" t="n">
        <x:f>IF(M12="","",IFERROR(SUMPRODUCT(H12:L12,{1,2,3,4,5})/(5*M12),0))</x:f>
        <x:v>0.09268292682926829</x:v>
      </x:c>
      <x:c r="U12" s="77" t="n">
        <x:f>IF(E12="","",O12+P12+Q12)</x:f>
        <x:v>1</x:v>
      </x:c>
      <x:c r="V12" s="76" t="n">
        <x:f>IF(E12="","",Legend!$B$21*S12+Legend!$B$22*R12+Legend!$B$23*(1-T12)-Legend!$B$24*N12)</x:f>
        <x:v>0.8555284552845528</x:v>
      </x:c>
    </x:row>
    <x:row r="13">
      <x:c r="A13" s="73" t="n">
        <x:v>6</x:v>
      </x:c>
      <x:c r="B13" s="74" t="str">
        <x:v>Air Fryer</x:v>
      </x:c>
      <x:c r="C13" s="74" t="str">
        <x:v>A</x:v>
      </x:c>
      <x:c r="D13" s="74" t="str">
        <x:v>Publisher A (blinded)</x:v>
      </x:c>
      <x:c r="E13" s="75" t="n">
        <x:v>19</x:v>
      </x:c>
      <x:c r="F13" s="75" t="n">
        <x:v>18</x:v>
      </x:c>
      <x:c r="G13" s="75" t="n">
        <x:v>17</x:v>
      </x:c>
      <x:c r="H13" s="75" t="n">
        <x:v>12</x:v>
      </x:c>
      <x:c r="I13" s="75" t="n">
        <x:v>6</x:v>
      </x:c>
      <x:c r="J13" s="75" t="n">
        <x:v>2</x:v>
      </x:c>
      <x:c r="K13" s="75" t="n">
        <x:v>2</x:v>
      </x:c>
      <x:c r="L13" s="75" t="n">
        <x:v>1</x:v>
      </x:c>
      <x:c r="M13" s="75" t="n">
        <x:v>71</x:v>
      </x:c>
      <x:c r="N13" s="75" t="n">
        <x:v>0</x:v>
      </x:c>
      <x:c r="O13" s="75" t="n">
        <x:v>0</x:v>
      </x:c>
      <x:c r="P13" s="75" t="n">
        <x:v>0</x:v>
      </x:c>
      <x:c r="Q13" s="75" t="n">
        <x:v>1</x:v>
      </x:c>
      <x:c r="R13" s="76" t="n">
        <x:f>IF(E13="","",IFERROR(F13/E13,0))</x:f>
        <x:v>0.9473684210526315</x:v>
      </x:c>
      <x:c r="S13" s="76" t="n">
        <x:f>IF(F13="","",IFERROR(G13/F13,0))</x:f>
        <x:v>0.9444444444444444</x:v>
      </x:c>
      <x:c r="T13" s="76" t="n">
        <x:f>IF(M13="","",IFERROR(SUMPRODUCT(H13:L13,{1,2,3,4,5})/(5*M13),0))</x:f>
        <x:v>0.12112676056338029</x:v>
      </x:c>
      <x:c r="U13" s="77" t="n">
        <x:f>IF(E13="","",O13+P13+Q13)</x:f>
        <x:v>1</x:v>
      </x:c>
      <x:c r="V13" s="76" t="n">
        <x:f>IF(E13="","",Legend!$B$21*S13+Legend!$B$22*R13+Legend!$B$23*(1-T13)-Legend!$B$24*N13)</x:f>
        <x:v>0.8312058314801087</x:v>
      </x:c>
    </x:row>
    <x:row r="14">
      <x:c r="A14" s="73" t="n">
        <x:v>6</x:v>
      </x:c>
      <x:c r="B14" s="74" t="str">
        <x:v>Air Fryer</x:v>
      </x:c>
      <x:c r="C14" s="74" t="str">
        <x:v>B</x:v>
      </x:c>
      <x:c r="D14" s="74" t="str">
        <x:v>Publisher B (blinded)</x:v>
      </x:c>
      <x:c r="E14" s="75" t="n">
        <x:v>19</x:v>
      </x:c>
      <x:c r="F14" s="75" t="n">
        <x:v>19</x:v>
      </x:c>
      <x:c r="G14" s="75" t="n">
        <x:v>19</x:v>
      </x:c>
      <x:c r="H14" s="75" t="n">
        <x:v>21</x:v>
      </x:c>
      <x:c r="I14" s="75" t="n">
        <x:v>4</x:v>
      </x:c>
      <x:c r="J14" s="75" t="n">
        <x:v>3</x:v>
      </x:c>
      <x:c r="K14" s="75" t="n">
        <x:v>4</x:v>
      </x:c>
      <x:c r="L14" s="75" t="n">
        <x:v>1</x:v>
      </x:c>
      <x:c r="M14" s="75" t="n">
        <x:v>73</x:v>
      </x:c>
      <x:c r="N14" s="75" t="n">
        <x:v>0</x:v>
      </x:c>
      <x:c r="O14" s="75" t="n">
        <x:v>0</x:v>
      </x:c>
      <x:c r="P14" s="75" t="n">
        <x:v>1</x:v>
      </x:c>
      <x:c r="Q14" s="75" t="n">
        <x:v>1</x:v>
      </x:c>
      <x:c r="R14" s="76" t="n">
        <x:f>IF(E14="","",IFERROR(F14/E14,0))</x:f>
        <x:v>1</x:v>
      </x:c>
      <x:c r="S14" s="76" t="n">
        <x:f>IF(F14="","",IFERROR(G14/F14,0))</x:f>
        <x:v>1</x:v>
      </x:c>
      <x:c r="T14" s="76" t="n">
        <x:f>IF(M14="","",IFERROR(SUMPRODUCT(H14:L14,{1,2,3,4,5})/(5*M14),0))</x:f>
        <x:v>0.16164383561643836</x:v>
      </x:c>
      <x:c r="U14" s="77" t="n">
        <x:f>IF(E14="","",O14+P14+Q14)</x:f>
        <x:v>2</x:v>
      </x:c>
      <x:c r="V14" s="76" t="n">
        <x:f>IF(E14="","",Legend!$B$21*S14+Legend!$B$22*R14+Legend!$B$23*(1-T14)-Legend!$B$24*N14)</x:f>
        <x:v>0.8515068493150685</x:v>
      </x:c>
    </x:row>
    <x:row r="15">
      <x:c r="A15" s="73" t="n">
        <x:v>7</x:v>
      </x:c>
      <x:c r="B15" s="74" t="str">
        <x:v>Running Shoes</x:v>
      </x:c>
      <x:c r="C15" s="74" t="str">
        <x:v>A</x:v>
      </x:c>
      <x:c r="D15" s="74" t="str">
        <x:v>Publisher A (blinded)</x:v>
      </x:c>
      <x:c r="E15" s="75" t="n">
        <x:v>19</x:v>
      </x:c>
      <x:c r="F15" s="75" t="n">
        <x:v>19</x:v>
      </x:c>
      <x:c r="G15" s="75" t="n">
        <x:v>19</x:v>
      </x:c>
      <x:c r="H15" s="75" t="n">
        <x:v>13</x:v>
      </x:c>
      <x:c r="I15" s="75" t="n">
        <x:v>1</x:v>
      </x:c>
      <x:c r="J15" s="75" t="n">
        <x:v>2</x:v>
      </x:c>
      <x:c r="K15" s="75" t="n">
        <x:v>2</x:v>
      </x:c>
      <x:c r="L15" s="75" t="n">
        <x:v>2</x:v>
      </x:c>
      <x:c r="M15" s="75" t="n">
        <x:v>53</x:v>
      </x:c>
      <x:c r="N15" s="75" t="n">
        <x:v>0</x:v>
      </x:c>
      <x:c r="O15" s="75" t="n">
        <x:v>0</x:v>
      </x:c>
      <x:c r="P15" s="75" t="n">
        <x:v>1</x:v>
      </x:c>
      <x:c r="Q15" s="75" t="n">
        <x:v>1</x:v>
      </x:c>
      <x:c r="R15" s="76" t="n">
        <x:f>IF(E15="","",IFERROR(F15/E15,0))</x:f>
        <x:v>1</x:v>
      </x:c>
      <x:c r="S15" s="76" t="n">
        <x:f>IF(F15="","",IFERROR(G15/F15,0))</x:f>
        <x:v>1</x:v>
      </x:c>
      <x:c r="T15" s="76" t="n">
        <x:f>IF(M15="","",IFERROR(SUMPRODUCT(H15:L15,{1,2,3,4,5})/(5*M15),0))</x:f>
        <x:v>0.1471698113207547</x:v>
      </x:c>
      <x:c r="U15" s="77" t="n">
        <x:f>IF(E15="","",O15+P15+Q15)</x:f>
        <x:v>2</x:v>
      </x:c>
      <x:c r="V15" s="76" t="n">
        <x:f>IF(E15="","",Legend!$B$21*S15+Legend!$B$22*R15+Legend!$B$23*(1-T15)-Legend!$B$24*N15)</x:f>
        <x:v>0.8558490566037735</x:v>
      </x:c>
    </x:row>
    <x:row r="16">
      <x:c r="A16" s="73" t="n">
        <x:v>7</x:v>
      </x:c>
      <x:c r="B16" s="74" t="str">
        <x:v>Running Shoes</x:v>
      </x:c>
      <x:c r="C16" s="74" t="str">
        <x:v>B</x:v>
      </x:c>
      <x:c r="D16" s="74" t="str">
        <x:v>Publisher B (blinded)</x:v>
      </x:c>
      <x:c r="E16" s="75" t="n">
        <x:v>19</x:v>
      </x:c>
      <x:c r="F16" s="75" t="n">
        <x:v>16</x:v>
      </x:c>
      <x:c r="G16" s="75" t="n">
        <x:v>16</x:v>
      </x:c>
      <x:c r="H16" s="75" t="n">
        <x:v>15</x:v>
      </x:c>
      <x:c r="I16" s="75" t="n">
        <x:v>1</x:v>
      </x:c>
      <x:c r="J16" s="75" t="n">
        <x:v>4</x:v>
      </x:c>
      <x:c r="K16" s="75" t="n">
        <x:v>2</x:v>
      </x:c>
      <x:c r="L16" s="75" t="n">
        <x:v>0</x:v>
      </x:c>
      <x:c r="M16" s="75" t="n">
        <x:v>51</x:v>
      </x:c>
      <x:c r="N16" s="75" t="n">
        <x:v>0</x:v>
      </x:c>
      <x:c r="O16" s="75" t="n">
        <x:v>0</x:v>
      </x:c>
      <x:c r="P16" s="75" t="n">
        <x:v>1</x:v>
      </x:c>
      <x:c r="Q16" s="75" t="n">
        <x:v>1</x:v>
      </x:c>
      <x:c r="R16" s="76" t="n">
        <x:f>IF(E16="","",IFERROR(F16/E16,0))</x:f>
        <x:v>0.8421052631578947</x:v>
      </x:c>
      <x:c r="S16" s="76" t="n">
        <x:f>IF(F16="","",IFERROR(G16/F16,0))</x:f>
        <x:v>1</x:v>
      </x:c>
      <x:c r="T16" s="76" t="n">
        <x:f>IF(M16="","",IFERROR(SUMPRODUCT(H16:L16,{1,2,3,4,5})/(5*M16),0))</x:f>
        <x:v>0.1450980392156863</x:v>
      </x:c>
      <x:c r="U16" s="77" t="n">
        <x:f>IF(E16="","",O16+P16+Q16)</x:f>
        <x:v>2</x:v>
      </x:c>
      <x:c r="V16" s="76" t="n">
        <x:f>IF(E16="","",Legend!$B$21*S16+Legend!$B$22*R16+Legend!$B$23*(1-T16)-Legend!$B$24*N16)</x:f>
        <x:v>0.8091021671826625</x:v>
      </x:c>
    </x:row>
    <x:row r="17">
      <x:c r="A17" s="73" t="n">
        <x:v>8</x:v>
      </x:c>
      <x:c r="B17" s="74" t="str">
        <x:v>Sunscreen</x:v>
      </x:c>
      <x:c r="C17" s="74" t="str">
        <x:v>A</x:v>
      </x:c>
      <x:c r="D17" s="74" t="str">
        <x:v>Publisher A (blinded)</x:v>
      </x:c>
      <x:c r="E17" s="75" t="n">
        <x:v>19</x:v>
      </x:c>
      <x:c r="F17" s="75" t="n">
        <x:v>17</x:v>
      </x:c>
      <x:c r="G17" s="75" t="n">
        <x:v>16</x:v>
      </x:c>
      <x:c r="H17" s="75" t="n">
        <x:v>5</x:v>
      </x:c>
      <x:c r="I17" s="75" t="n">
        <x:v>1</x:v>
      </x:c>
      <x:c r="J17" s="75" t="n">
        <x:v>0</x:v>
      </x:c>
      <x:c r="K17" s="75" t="n">
        <x:v>4</x:v>
      </x:c>
      <x:c r="L17" s="75" t="n">
        <x:v>2</x:v>
      </x:c>
      <x:c r="M17" s="75" t="n">
        <x:v>38</x:v>
      </x:c>
      <x:c r="N17" s="75" t="n">
        <x:v>0</x:v>
      </x:c>
      <x:c r="O17" s="75" t="n">
        <x:v>0</x:v>
      </x:c>
      <x:c r="P17" s="75" t="n">
        <x:v>1</x:v>
      </x:c>
      <x:c r="Q17" s="75" t="n">
        <x:v>1</x:v>
      </x:c>
      <x:c r="R17" s="76" t="n">
        <x:f>IF(E17="","",IFERROR(F17/E17,0))</x:f>
        <x:v>0.8947368421052632</x:v>
      </x:c>
      <x:c r="S17" s="76" t="n">
        <x:f>IF(F17="","",IFERROR(G17/F17,0))</x:f>
        <x:v>0.9411764705882353</x:v>
      </x:c>
      <x:c r="T17" s="76" t="n">
        <x:f>IF(M17="","",IFERROR(SUMPRODUCT(H17:L17,{1,2,3,4,5})/(5*M17),0))</x:f>
        <x:v>0.1736842105263158</x:v>
      </x:c>
      <x:c r="U17" s="77" t="n">
        <x:f>IF(E17="","",O17+P17+Q17)</x:f>
        <x:v>2</x:v>
      </x:c>
      <x:c r="V17" s="76" t="n">
        <x:f>IF(E17="","",Legend!$B$21*S17+Legend!$B$22*R17+Legend!$B$23*(1-T17)-Legend!$B$24*N17)</x:f>
        <x:v>0.7986687306501549</x:v>
      </x:c>
    </x:row>
    <x:row r="18">
      <x:c r="A18" s="73" t="n">
        <x:v>8</x:v>
      </x:c>
      <x:c r="B18" s="74" t="str">
        <x:v>Sunscreen</x:v>
      </x:c>
      <x:c r="C18" s="74" t="str">
        <x:v>B</x:v>
      </x:c>
      <x:c r="D18" s="74" t="str">
        <x:v>Publisher B (blinded)</x:v>
      </x:c>
      <x:c r="E18" s="75" t="n">
        <x:v>19</x:v>
      </x:c>
      <x:c r="F18" s="75" t="n">
        <x:v>17</x:v>
      </x:c>
      <x:c r="G18" s="75" t="n">
        <x:v>17</x:v>
      </x:c>
      <x:c r="H18" s="75" t="n">
        <x:v>11</x:v>
      </x:c>
      <x:c r="I18" s="75" t="n">
        <x:v>4</x:v>
      </x:c>
      <x:c r="J18" s="75" t="n">
        <x:v>0</x:v>
      </x:c>
      <x:c r="K18" s="75" t="n">
        <x:v>4</x:v>
      </x:c>
      <x:c r="L18" s="75" t="n">
        <x:v>1</x:v>
      </x:c>
      <x:c r="M18" s="75" t="n">
        <x:v>49</x:v>
      </x:c>
      <x:c r="N18" s="75" t="n">
        <x:v>0</x:v>
      </x:c>
      <x:c r="O18" s="75" t="n">
        <x:v>0</x:v>
      </x:c>
      <x:c r="P18" s="75" t="n">
        <x:v>0</x:v>
      </x:c>
      <x:c r="Q18" s="75" t="n">
        <x:v>1</x:v>
      </x:c>
      <x:c r="R18" s="76" t="n">
        <x:f>IF(E18="","",IFERROR(F18/E18,0))</x:f>
        <x:v>0.8947368421052632</x:v>
      </x:c>
      <x:c r="S18" s="76" t="n">
        <x:f>IF(F18="","",IFERROR(G18/F18,0))</x:f>
        <x:v>1</x:v>
      </x:c>
      <x:c r="T18" s="76" t="n">
        <x:f>IF(M18="","",IFERROR(SUMPRODUCT(H18:L18,{1,2,3,4,5})/(5*M18),0))</x:f>
        <x:v>0.16326530612244897</x:v>
      </x:c>
      <x:c r="U18" s="77" t="n">
        <x:f>IF(E18="","",O18+P18+Q18)</x:f>
        <x:v>1</x:v>
      </x:c>
      <x:c r="V18" s="76" t="n">
        <x:f>IF(E18="","",Legend!$B$21*S18+Legend!$B$22*R18+Legend!$B$23*(1-T18)-Legend!$B$24*N18)</x:f>
        <x:v>0.8194414607948443</x:v>
      </x:c>
    </x:row>
    <x:row r="19">
      <x:c r="A19" s="73" t="n">
        <x:v>9</x:v>
      </x:c>
      <x:c r="B19" s="74" t="str">
        <x:v>Face Serum</x:v>
      </x:c>
      <x:c r="C19" s="74" t="str">
        <x:v>A</x:v>
      </x:c>
      <x:c r="D19" s="74" t="str">
        <x:v>Publisher A (blinded)</x:v>
      </x:c>
      <x:c r="E19" s="75" t="n">
        <x:v>17</x:v>
      </x:c>
      <x:c r="F19" s="75" t="n">
        <x:v>17</x:v>
      </x:c>
      <x:c r="G19" s="75" t="n">
        <x:v>16</x:v>
      </x:c>
      <x:c r="H19" s="75" t="n">
        <x:v>15</x:v>
      </x:c>
      <x:c r="I19" s="75" t="n">
        <x:v>0</x:v>
      </x:c>
      <x:c r="J19" s="75" t="n">
        <x:v>4</x:v>
      </x:c>
      <x:c r="K19" s="75" t="n">
        <x:v>3</x:v>
      </x:c>
      <x:c r="L19" s="75" t="n">
        <x:v>3</x:v>
      </x:c>
      <x:c r="M19" s="75" t="n">
        <x:v>52</x:v>
      </x:c>
      <x:c r="N19" s="75" t="n">
        <x:v>0</x:v>
      </x:c>
      <x:c r="O19" s="75" t="n">
        <x:v>0</x:v>
      </x:c>
      <x:c r="P19" s="75" t="n">
        <x:v>0</x:v>
      </x:c>
      <x:c r="Q19" s="75" t="n">
        <x:v>1</x:v>
      </x:c>
      <x:c r="R19" s="76" t="n">
        <x:f>IF(E19="","",IFERROR(F19/E19,0))</x:f>
        <x:v>1</x:v>
      </x:c>
      <x:c r="S19" s="76" t="n">
        <x:f>IF(F19="","",IFERROR(G19/F19,0))</x:f>
        <x:v>0.9411764705882353</x:v>
      </x:c>
      <x:c r="T19" s="76" t="n">
        <x:f>IF(M19="","",IFERROR(SUMPRODUCT(H19:L19,{1,2,3,4,5})/(5*M19),0))</x:f>
        <x:v>0.2076923076923077</x:v>
      </x:c>
      <x:c r="U19" s="77" t="n">
        <x:f>IF(E19="","",O19+P19+Q19)</x:f>
        <x:v>1</x:v>
      </x:c>
      <x:c r="V19" s="76" t="n">
        <x:f>IF(E19="","",Legend!$B$21*S19+Legend!$B$22*R19+Legend!$B$23*(1-T19)-Legend!$B$24*N19)</x:f>
        <x:v>0.8200452488687782</x:v>
      </x:c>
    </x:row>
    <x:row r="20">
      <x:c r="A20" s="73" t="n">
        <x:v>9</x:v>
      </x:c>
      <x:c r="B20" s="74" t="str">
        <x:v>Face Serum</x:v>
      </x:c>
      <x:c r="C20" s="74" t="str">
        <x:v>B</x:v>
      </x:c>
      <x:c r="D20" s="74" t="str">
        <x:v>Publisher B (blinded)</x:v>
      </x:c>
      <x:c r="E20" s="75" t="n">
        <x:v>17</x:v>
      </x:c>
      <x:c r="F20" s="75" t="n">
        <x:v>15</x:v>
      </x:c>
      <x:c r="G20" s="75" t="n">
        <x:v>15</x:v>
      </x:c>
      <x:c r="H20" s="75" t="n">
        <x:v>21</x:v>
      </x:c>
      <x:c r="I20" s="75" t="n">
        <x:v>0</x:v>
      </x:c>
      <x:c r="J20" s="75" t="n">
        <x:v>3</x:v>
      </x:c>
      <x:c r="K20" s="75" t="n">
        <x:v>4</x:v>
      </x:c>
      <x:c r="L20" s="75" t="n">
        <x:v>0</x:v>
      </x:c>
      <x:c r="M20" s="75" t="n">
        <x:v>66</x:v>
      </x:c>
      <x:c r="N20" s="75" t="n">
        <x:v>0</x:v>
      </x:c>
      <x:c r="O20" s="75" t="n">
        <x:v>0</x:v>
      </x:c>
      <x:c r="P20" s="75" t="n">
        <x:v>1</x:v>
      </x:c>
      <x:c r="Q20" s="75" t="n">
        <x:v>1</x:v>
      </x:c>
      <x:c r="R20" s="76" t="n">
        <x:f>IF(E20="","",IFERROR(F20/E20,0))</x:f>
        <x:v>0.8823529411764706</x:v>
      </x:c>
      <x:c r="S20" s="76" t="n">
        <x:f>IF(F20="","",IFERROR(G20/F20,0))</x:f>
        <x:v>1</x:v>
      </x:c>
      <x:c r="T20" s="76" t="n">
        <x:f>IF(M20="","",IFERROR(SUMPRODUCT(H20:L20,{1,2,3,4,5})/(5*M20),0))</x:f>
        <x:v>0.1393939393939394</x:v>
      </x:c>
      <x:c r="U20" s="77" t="n">
        <x:f>IF(E20="","",O20+P20+Q20)</x:f>
        <x:v>2</x:v>
      </x:c>
      <x:c r="V20" s="76" t="n">
        <x:f>IF(E20="","",Legend!$B$21*S20+Legend!$B$22*R20+Legend!$B$23*(1-T20)-Legend!$B$24*N20)</x:f>
        <x:v>0.8228877005347593</x:v>
      </x:c>
    </x:row>
    <x:row r="21">
      <x:c r="A21" s="73" t="n">
        <x:v>10</x:v>
      </x:c>
      <x:c r="B21" s="74" t="str">
        <x:v>Laptop</x:v>
      </x:c>
      <x:c r="C21" s="74" t="str">
        <x:v>A</x:v>
      </x:c>
      <x:c r="D21" s="74" t="str">
        <x:v>Publisher A (blinded)</x:v>
      </x:c>
      <x:c r="E21" s="75" t="n">
        <x:v>15</x:v>
      </x:c>
      <x:c r="F21" s="75" t="n">
        <x:v>13</x:v>
      </x:c>
      <x:c r="G21" s="75" t="n">
        <x:v>13</x:v>
      </x:c>
      <x:c r="H21" s="75" t="n">
        <x:v>16</x:v>
      </x:c>
      <x:c r="I21" s="75" t="n">
        <x:v>4</x:v>
      </x:c>
      <x:c r="J21" s="75" t="n">
        <x:v>0</x:v>
      </x:c>
      <x:c r="K21" s="75" t="n">
        <x:v>7</x:v>
      </x:c>
      <x:c r="L21" s="75" t="n">
        <x:v>0</x:v>
      </x:c>
      <x:c r="M21" s="75" t="n">
        <x:v>49</x:v>
      </x:c>
      <x:c r="N21" s="75" t="n">
        <x:v>0</x:v>
      </x:c>
      <x:c r="O21" s="75" t="n">
        <x:v>0</x:v>
      </x:c>
      <x:c r="P21" s="75" t="n">
        <x:v>1</x:v>
      </x:c>
      <x:c r="Q21" s="75" t="n">
        <x:v>1</x:v>
      </x:c>
      <x:c r="R21" s="76" t="n">
        <x:f>IF(E21="","",IFERROR(F21/E21,0))</x:f>
        <x:v>0.8666666666666667</x:v>
      </x:c>
      <x:c r="S21" s="76" t="n">
        <x:f>IF(F21="","",IFERROR(G21/F21,0))</x:f>
        <x:v>1</x:v>
      </x:c>
      <x:c r="T21" s="76" t="n">
        <x:f>IF(M21="","",IFERROR(SUMPRODUCT(H21:L21,{1,2,3,4,5})/(5*M21),0))</x:f>
        <x:v>0.21224489795918366</x:v>
      </x:c>
      <x:c r="U21" s="77" t="n">
        <x:f>IF(E21="","",O21+P21+Q21)</x:f>
        <x:v>2</x:v>
      </x:c>
      <x:c r="V21" s="76" t="n">
        <x:f>IF(E21="","",Legend!$B$21*S21+Legend!$B$22*R21+Legend!$B$23*(1-T21)-Legend!$B$24*N21)</x:f>
        <x:v>0.7963265306122449</x:v>
      </x:c>
    </x:row>
    <x:row r="22">
      <x:c r="A22" s="73" t="n">
        <x:v>10</x:v>
      </x:c>
      <x:c r="B22" s="74" t="str">
        <x:v>Laptop</x:v>
      </x:c>
      <x:c r="C22" s="74" t="str">
        <x:v>B</x:v>
      </x:c>
      <x:c r="D22" s="74" t="str">
        <x:v>Publisher B (blinded)</x:v>
      </x:c>
      <x:c r="E22" s="75" t="n">
        <x:v>15</x:v>
      </x:c>
      <x:c r="F22" s="75" t="n">
        <x:v>12</x:v>
      </x:c>
      <x:c r="G22" s="75" t="n">
        <x:v>12</x:v>
      </x:c>
      <x:c r="H22" s="75" t="n">
        <x:v>17</x:v>
      </x:c>
      <x:c r="I22" s="75" t="n">
        <x:v>2</x:v>
      </x:c>
      <x:c r="J22" s="75" t="n">
        <x:v>0</x:v>
      </x:c>
      <x:c r="K22" s="75" t="n">
        <x:v>8</x:v>
      </x:c>
      <x:c r="L22" s="75" t="n">
        <x:v>0</x:v>
      </x:c>
      <x:c r="M22" s="75" t="n">
        <x:v>51</x:v>
      </x:c>
      <x:c r="N22" s="75" t="n">
        <x:v>0</x:v>
      </x:c>
      <x:c r="O22" s="75" t="n">
        <x:v>0</x:v>
      </x:c>
      <x:c r="P22" s="75" t="n">
        <x:v>0</x:v>
      </x:c>
      <x:c r="Q22" s="75" t="n">
        <x:v>1</x:v>
      </x:c>
      <x:c r="R22" s="76" t="n">
        <x:f>IF(E22="","",IFERROR(F22/E22,0))</x:f>
        <x:v>0.8</x:v>
      </x:c>
      <x:c r="S22" s="76" t="n">
        <x:f>IF(F22="","",IFERROR(G22/F22,0))</x:f>
        <x:v>1</x:v>
      </x:c>
      <x:c r="T22" s="76" t="n">
        <x:f>IF(M22="","",IFERROR(SUMPRODUCT(H22:L22,{1,2,3,4,5})/(5*M22),0))</x:f>
        <x:v>0.20784313725490197</x:v>
      </x:c>
      <x:c r="U22" s="77" t="n">
        <x:f>IF(E22="","",O22+P22+Q22)</x:f>
        <x:v>1</x:v>
      </x:c>
      <x:c r="V22" s="76" t="n">
        <x:f>IF(E22="","",Legend!$B$21*S22+Legend!$B$22*R22+Legend!$B$23*(1-T22)-Legend!$B$24*N22)</x:f>
        <x:v>0.7776470588235294</x:v>
      </x:c>
    </x:row>
    <x:row r="23">
      <x:c r="A23" s="73" t="n">
        <x:v>11</x:v>
      </x:c>
      <x:c r="B23" s="74" t="str">
        <x:v>Running Jacket</x:v>
      </x:c>
      <x:c r="C23" s="74" t="str">
        <x:v>A</x:v>
      </x:c>
      <x:c r="D23" s="74" t="str">
        <x:v>Publisher A (blinded)</x:v>
      </x:c>
      <x:c r="E23" s="75" t="n">
        <x:v>16</x:v>
      </x:c>
      <x:c r="F23" s="75" t="n">
        <x:v>14</x:v>
      </x:c>
      <x:c r="G23" s="75" t="n">
        <x:v>14</x:v>
      </x:c>
      <x:c r="H23" s="75" t="n">
        <x:v>16</x:v>
      </x:c>
      <x:c r="I23" s="75" t="n">
        <x:v>0</x:v>
      </x:c>
      <x:c r="J23" s="75" t="n">
        <x:v>3</x:v>
      </x:c>
      <x:c r="K23" s="75" t="n">
        <x:v>0</x:v>
      </x:c>
      <x:c r="L23" s="75" t="n">
        <x:v>2</x:v>
      </x:c>
      <x:c r="M23" s="75" t="n">
        <x:v>47</x:v>
      </x:c>
      <x:c r="N23" s="75" t="n">
        <x:v>0</x:v>
      </x:c>
      <x:c r="O23" s="75" t="n">
        <x:v>0</x:v>
      </x:c>
      <x:c r="P23" s="75" t="n">
        <x:v>1</x:v>
      </x:c>
      <x:c r="Q23" s="75" t="n">
        <x:v>1</x:v>
      </x:c>
      <x:c r="R23" s="76" t="n">
        <x:f>IF(E23="","",IFERROR(F23/E23,0))</x:f>
        <x:v>0.875</x:v>
      </x:c>
      <x:c r="S23" s="76" t="n">
        <x:f>IF(F23="","",IFERROR(G23/F23,0))</x:f>
        <x:v>1</x:v>
      </x:c>
      <x:c r="T23" s="76" t="n">
        <x:f>IF(M23="","",IFERROR(SUMPRODUCT(H23:L23,{1,2,3,4,5})/(5*M23),0))</x:f>
        <x:v>0.14893617021276595</x:v>
      </x:c>
      <x:c r="U23" s="77" t="n">
        <x:f>IF(E23="","",O23+P23+Q23)</x:f>
        <x:v>2</x:v>
      </x:c>
      <x:c r="V23" s="76" t="n">
        <x:f>IF(E23="","",Legend!$B$21*S23+Legend!$B$22*R23+Legend!$B$23*(1-T23)-Legend!$B$24*N23)</x:f>
        <x:v>0.8178191489361701</x:v>
      </x:c>
    </x:row>
    <x:row r="24">
      <x:c r="A24" s="73" t="n">
        <x:v>11</x:v>
      </x:c>
      <x:c r="B24" s="74" t="str">
        <x:v>Running Jacket</x:v>
      </x:c>
      <x:c r="C24" s="74" t="str">
        <x:v>B</x:v>
      </x:c>
      <x:c r="D24" s="74" t="str">
        <x:v>Publisher B (blinded)</x:v>
      </x:c>
      <x:c r="E24" s="75" t="n">
        <x:v>16</x:v>
      </x:c>
      <x:c r="F24" s="75" t="n">
        <x:v>16</x:v>
      </x:c>
      <x:c r="G24" s="75" t="n">
        <x:v>16</x:v>
      </x:c>
      <x:c r="H24" s="75" t="n">
        <x:v>22</x:v>
      </x:c>
      <x:c r="I24" s="75" t="n">
        <x:v>1</x:v>
      </x:c>
      <x:c r="J24" s="75" t="n">
        <x:v>1</x:v>
      </x:c>
      <x:c r="K24" s="75" t="n">
        <x:v>0</x:v>
      </x:c>
      <x:c r="L24" s="75" t="n">
        <x:v>1</x:v>
      </x:c>
      <x:c r="M24" s="75" t="n">
        <x:v>50</x:v>
      </x:c>
      <x:c r="N24" s="75" t="n">
        <x:v>0</x:v>
      </x:c>
      <x:c r="O24" s="75" t="n">
        <x:v>0</x:v>
      </x:c>
      <x:c r="P24" s="75" t="n">
        <x:v>1</x:v>
      </x:c>
      <x:c r="Q24" s="75" t="n">
        <x:v>1</x:v>
      </x:c>
      <x:c r="R24" s="76" t="n">
        <x:f>IF(E24="","",IFERROR(F24/E24,0))</x:f>
        <x:v>1</x:v>
      </x:c>
      <x:c r="S24" s="76" t="n">
        <x:f>IF(F24="","",IFERROR(G24/F24,0))</x:f>
        <x:v>1</x:v>
      </x:c>
      <x:c r="T24" s="76" t="n">
        <x:f>IF(M24="","",IFERROR(SUMPRODUCT(H24:L24,{1,2,3,4,5})/(5*M24),0))</x:f>
        <x:v>0.128</x:v>
      </x:c>
      <x:c r="U24" s="77" t="n">
        <x:f>IF(E24="","",O24+P24+Q24)</x:f>
        <x:v>2</x:v>
      </x:c>
      <x:c r="V24" s="76" t="n">
        <x:f>IF(E24="","",Legend!$B$21*S24+Legend!$B$22*R24+Legend!$B$23*(1-T24)-Legend!$B$24*N24)</x:f>
        <x:v>0.8615999999999999</x:v>
      </x:c>
    </x:row>
    <x:row r="25">
      <x:c r="A25" s="73" t="n">
        <x:v>12</x:v>
      </x:c>
      <x:c r="B25" s="74" t="str">
        <x:v>Coffee Beans</x:v>
      </x:c>
      <x:c r="C25" s="74" t="str">
        <x:v>A</x:v>
      </x:c>
      <x:c r="D25" s="74" t="str">
        <x:v>Publisher A (blinded)</x:v>
      </x:c>
      <x:c r="E25" s="75" t="n">
        <x:v>17</x:v>
      </x:c>
      <x:c r="F25" s="75" t="n">
        <x:v>16</x:v>
      </x:c>
      <x:c r="G25" s="75" t="n">
        <x:v>16</x:v>
      </x:c>
      <x:c r="H25" s="75" t="n">
        <x:v>15</x:v>
      </x:c>
      <x:c r="I25" s="75" t="n">
        <x:v>3</x:v>
      </x:c>
      <x:c r="J25" s="75" t="n">
        <x:v>0</x:v>
      </x:c>
      <x:c r="K25" s="75" t="n">
        <x:v>0</x:v>
      </x:c>
      <x:c r="L25" s="75" t="n">
        <x:v>0</x:v>
      </x:c>
      <x:c r="M25" s="75" t="n">
        <x:v>47</x:v>
      </x:c>
      <x:c r="N25" s="75" t="n">
        <x:v>0</x:v>
      </x:c>
      <x:c r="O25" s="75" t="n">
        <x:v>0</x:v>
      </x:c>
      <x:c r="P25" s="75" t="n">
        <x:v>1</x:v>
      </x:c>
      <x:c r="Q25" s="75" t="n">
        <x:v>1</x:v>
      </x:c>
      <x:c r="R25" s="76" t="n">
        <x:f>IF(E25="","",IFERROR(F25/E25,0))</x:f>
        <x:v>0.9411764705882353</x:v>
      </x:c>
      <x:c r="S25" s="76" t="n">
        <x:f>IF(F25="","",IFERROR(G25/F25,0))</x:f>
        <x:v>1</x:v>
      </x:c>
      <x:c r="T25" s="76" t="n">
        <x:f>IF(M25="","",IFERROR(SUMPRODUCT(H25:L25,{1,2,3,4,5})/(5*M25),0))</x:f>
        <x:v>0.08936170212765958</x:v>
      </x:c>
      <x:c r="U25" s="77" t="n">
        <x:f>IF(E25="","",O25+P25+Q25)</x:f>
        <x:v>2</x:v>
      </x:c>
      <x:c r="V25" s="76" t="n">
        <x:f>IF(E25="","",Legend!$B$21*S25+Legend!$B$22*R25+Legend!$B$23*(1-T25)-Legend!$B$24*N25)</x:f>
        <x:v>0.8555444305381726</x:v>
      </x:c>
    </x:row>
    <x:row r="26">
      <x:c r="A26" s="73" t="n">
        <x:v>12</x:v>
      </x:c>
      <x:c r="B26" s="74" t="str">
        <x:v>Coffee Beans</x:v>
      </x:c>
      <x:c r="C26" s="74" t="str">
        <x:v>B</x:v>
      </x:c>
      <x:c r="D26" s="74" t="str">
        <x:v>Publisher B (blinded)</x:v>
      </x:c>
      <x:c r="E26" s="75" t="n">
        <x:v>17</x:v>
      </x:c>
      <x:c r="F26" s="75" t="n">
        <x:v>16</x:v>
      </x:c>
      <x:c r="G26" s="75" t="n">
        <x:v>16</x:v>
      </x:c>
      <x:c r="H26" s="75" t="n">
        <x:v>22</x:v>
      </x:c>
      <x:c r="I26" s="75" t="n">
        <x:v>1</x:v>
      </x:c>
      <x:c r="J26" s="75" t="n">
        <x:v>1</x:v>
      </x:c>
      <x:c r="K26" s="75" t="n">
        <x:v>0</x:v>
      </x:c>
      <x:c r="L26" s="75" t="n">
        <x:v>0</x:v>
      </x:c>
      <x:c r="M26" s="75" t="n">
        <x:v>55</x:v>
      </x:c>
      <x:c r="N26" s="75" t="n">
        <x:v>0</x:v>
      </x:c>
      <x:c r="O26" s="75" t="n">
        <x:v>0</x:v>
      </x:c>
      <x:c r="P26" s="75" t="n">
        <x:v>1</x:v>
      </x:c>
      <x:c r="Q26" s="75" t="n">
        <x:v>1</x:v>
      </x:c>
      <x:c r="R26" s="76" t="n">
        <x:f>IF(E26="","",IFERROR(F26/E26,0))</x:f>
        <x:v>0.9411764705882353</x:v>
      </x:c>
      <x:c r="S26" s="76" t="n">
        <x:f>IF(F26="","",IFERROR(G26/F26,0))</x:f>
        <x:v>1</x:v>
      </x:c>
      <x:c r="T26" s="76" t="n">
        <x:f>IF(M26="","",IFERROR(SUMPRODUCT(H26:L26,{1,2,3,4,5})/(5*M26),0))</x:f>
        <x:v>0.09818181818181818</x:v>
      </x:c>
      <x:c r="U26" s="77" t="n">
        <x:f>IF(E26="","",O26+P26+Q26)</x:f>
        <x:v>2</x:v>
      </x:c>
      <x:c r="V26" s="76" t="n">
        <x:f>IF(E26="","",Legend!$B$21*S26+Legend!$B$22*R26+Legend!$B$23*(1-T26)-Legend!$B$24*N26)</x:f>
        <x:v>0.852898395721925</x:v>
      </x:c>
    </x:row>
    <x:row r="27">
      <x:c r="A27" s="73" t="n">
        <x:v>13</x:v>
      </x:c>
      <x:c r="B27" s="74" t="str">
        <x:v>Mattress</x:v>
      </x:c>
      <x:c r="C27" s="74" t="str">
        <x:v>A</x:v>
      </x:c>
      <x:c r="D27" s="74" t="str">
        <x:v>Publisher A (blinded)</x:v>
      </x:c>
      <x:c r="E27" s="75" t="n">
        <x:v>18</x:v>
      </x:c>
      <x:c r="F27" s="75" t="n">
        <x:v>18</x:v>
      </x:c>
      <x:c r="G27" s="75" t="n">
        <x:v>18</x:v>
      </x:c>
      <x:c r="H27" s="75" t="n">
        <x:v>13</x:v>
      </x:c>
      <x:c r="I27" s="75" t="n">
        <x:v>0</x:v>
      </x:c>
      <x:c r="J27" s="75" t="n">
        <x:v>2</x:v>
      </x:c>
      <x:c r="K27" s="75" t="n">
        <x:v>2</x:v>
      </x:c>
      <x:c r="L27" s="75" t="n">
        <x:v>0</x:v>
      </x:c>
      <x:c r="M27" s="75" t="n">
        <x:v>52</x:v>
      </x:c>
      <x:c r="N27" s="75" t="n">
        <x:v>0</x:v>
      </x:c>
      <x:c r="O27" s="75" t="n">
        <x:v>0</x:v>
      </x:c>
      <x:c r="P27" s="75" t="n">
        <x:v>1</x:v>
      </x:c>
      <x:c r="Q27" s="75" t="n">
        <x:v>0</x:v>
      </x:c>
      <x:c r="R27" s="76" t="n">
        <x:f>IF(E27="","",IFERROR(F27/E27,0))</x:f>
        <x:v>1</x:v>
      </x:c>
      <x:c r="S27" s="76" t="n">
        <x:f>IF(F27="","",IFERROR(G27/F27,0))</x:f>
        <x:v>1</x:v>
      </x:c>
      <x:c r="T27" s="76" t="n">
        <x:f>IF(M27="","",IFERROR(SUMPRODUCT(H27:L27,{1,2,3,4,5})/(5*M27),0))</x:f>
        <x:v>0.10384615384615385</x:v>
      </x:c>
      <x:c r="U27" s="77" t="n">
        <x:f>IF(E27="","",O27+P27+Q27)</x:f>
        <x:v>1</x:v>
      </x:c>
      <x:c r="V27" s="76" t="n">
        <x:f>IF(E27="","",Legend!$B$21*S27+Legend!$B$22*R27+Legend!$B$23*(1-T27)-Legend!$B$24*N27)</x:f>
        <x:v>0.8688461538461538</x:v>
      </x:c>
    </x:row>
    <x:row r="28">
      <x:c r="A28" s="73" t="n">
        <x:v>13</x:v>
      </x:c>
      <x:c r="B28" s="74" t="str">
        <x:v>Mattress</x:v>
      </x:c>
      <x:c r="C28" s="74" t="str">
        <x:v>B</x:v>
      </x:c>
      <x:c r="D28" s="74" t="str">
        <x:v>Publisher B (blinded)</x:v>
      </x:c>
      <x:c r="E28" s="75" t="n">
        <x:v>18</x:v>
      </x:c>
      <x:c r="F28" s="75" t="n">
        <x:v>17</x:v>
      </x:c>
      <x:c r="G28" s="75" t="n">
        <x:v>17</x:v>
      </x:c>
      <x:c r="H28" s="75" t="n">
        <x:v>17</x:v>
      </x:c>
      <x:c r="I28" s="75" t="n">
        <x:v>2</x:v>
      </x:c>
      <x:c r="J28" s="75" t="n">
        <x:v>0</x:v>
      </x:c>
      <x:c r="K28" s="75" t="n">
        <x:v>0</x:v>
      </x:c>
      <x:c r="L28" s="75" t="n">
        <x:v>1</x:v>
      </x:c>
      <x:c r="M28" s="75" t="n">
        <x:v>50</x:v>
      </x:c>
      <x:c r="N28" s="75" t="n">
        <x:v>0</x:v>
      </x:c>
      <x:c r="O28" s="75" t="n">
        <x:v>0</x:v>
      </x:c>
      <x:c r="P28" s="75" t="n">
        <x:v>1</x:v>
      </x:c>
      <x:c r="Q28" s="75" t="n">
        <x:v>1</x:v>
      </x:c>
      <x:c r="R28" s="76" t="n">
        <x:f>IF(E28="","",IFERROR(F28/E28,0))</x:f>
        <x:v>0.9444444444444444</x:v>
      </x:c>
      <x:c r="S28" s="76" t="n">
        <x:f>IF(F28="","",IFERROR(G28/F28,0))</x:f>
        <x:v>1</x:v>
      </x:c>
      <x:c r="T28" s="76" t="n">
        <x:f>IF(M28="","",IFERROR(SUMPRODUCT(H28:L28,{1,2,3,4,5})/(5*M28),0))</x:f>
        <x:v>0.104</x:v>
      </x:c>
      <x:c r="U28" s="77" t="n">
        <x:f>IF(E28="","",O28+P28+Q28)</x:f>
        <x:v>2</x:v>
      </x:c>
      <x:c r="V28" s="76" t="n">
        <x:f>IF(E28="","",Legend!$B$21*S28+Legend!$B$22*R28+Legend!$B$23*(1-T28)-Legend!$B$24*N28)</x:f>
        <x:v>0.8521333333333332</x:v>
      </x:c>
    </x:row>
    <x:row r="29">
      <x:c r="A29" s="73" t="n">
        <x:v>14</x:v>
      </x:c>
      <x:c r="B29" s="74" t="str">
        <x:v>Smartphone</x:v>
      </x:c>
      <x:c r="C29" s="74" t="str">
        <x:v>A</x:v>
      </x:c>
      <x:c r="D29" s="74" t="str">
        <x:v>Publisher A (blinded)</x:v>
      </x:c>
      <x:c r="E29" s="75" t="n">
        <x:v>20</x:v>
      </x:c>
      <x:c r="F29" s="75" t="n">
        <x:v>16</x:v>
      </x:c>
      <x:c r="G29" s="75" t="n">
        <x:v>16</x:v>
      </x:c>
      <x:c r="H29" s="75" t="n">
        <x:v>9</x:v>
      </x:c>
      <x:c r="I29" s="75" t="n">
        <x:v>5</x:v>
      </x:c>
      <x:c r="J29" s="75" t="n">
        <x:v>1</x:v>
      </x:c>
      <x:c r="K29" s="75" t="n">
        <x:v>7</x:v>
      </x:c>
      <x:c r="L29" s="75" t="n">
        <x:v>0</x:v>
      </x:c>
      <x:c r="M29" s="75" t="n">
        <x:v>46</x:v>
      </x:c>
      <x:c r="N29" s="75" t="n">
        <x:v>0</x:v>
      </x:c>
      <x:c r="O29" s="75" t="n">
        <x:v>0</x:v>
      </x:c>
      <x:c r="P29" s="75" t="n">
        <x:v>1</x:v>
      </x:c>
      <x:c r="Q29" s="75" t="n">
        <x:v>1</x:v>
      </x:c>
      <x:c r="R29" s="76" t="n">
        <x:f>IF(E29="","",IFERROR(F29/E29,0))</x:f>
        <x:v>0.8</x:v>
      </x:c>
      <x:c r="S29" s="76" t="n">
        <x:f>IF(F29="","",IFERROR(G29/F29,0))</x:f>
        <x:v>1</x:v>
      </x:c>
      <x:c r="T29" s="76" t="n">
        <x:f>IF(M29="","",IFERROR(SUMPRODUCT(H29:L29,{1,2,3,4,5})/(5*M29),0))</x:f>
        <x:v>0.21739130434782608</x:v>
      </x:c>
      <x:c r="U29" s="77" t="n">
        <x:f>IF(E29="","",O29+P29+Q29)</x:f>
        <x:v>2</x:v>
      </x:c>
      <x:c r="V29" s="76" t="n">
        <x:f>IF(E29="","",Legend!$B$21*S29+Legend!$B$22*R29+Legend!$B$23*(1-T29)-Legend!$B$24*N29)</x:f>
        <x:v>0.7747826086956522</x:v>
      </x:c>
    </x:row>
    <x:row r="30">
      <x:c r="A30" s="73" t="n">
        <x:v>14</x:v>
      </x:c>
      <x:c r="B30" s="74" t="str">
        <x:v>Smartphone</x:v>
      </x:c>
      <x:c r="C30" s="74" t="str">
        <x:v>B</x:v>
      </x:c>
      <x:c r="D30" s="74" t="str">
        <x:v>Publisher B (blinded)</x:v>
      </x:c>
      <x:c r="E30" s="75" t="n">
        <x:v>20</x:v>
      </x:c>
      <x:c r="F30" s="75" t="n">
        <x:v>17</x:v>
      </x:c>
      <x:c r="G30" s="75" t="n">
        <x:v>17</x:v>
      </x:c>
      <x:c r="H30" s="75" t="n">
        <x:v>7</x:v>
      </x:c>
      <x:c r="I30" s="75" t="n">
        <x:v>4</x:v>
      </x:c>
      <x:c r="J30" s="75" t="n">
        <x:v>2</x:v>
      </x:c>
      <x:c r="K30" s="75" t="n">
        <x:v>8</x:v>
      </x:c>
      <x:c r="L30" s="75" t="n">
        <x:v>0</x:v>
      </x:c>
      <x:c r="M30" s="75" t="n">
        <x:v>43</x:v>
      </x:c>
      <x:c r="N30" s="75" t="n">
        <x:v>0</x:v>
      </x:c>
      <x:c r="O30" s="75" t="n">
        <x:v>0</x:v>
      </x:c>
      <x:c r="P30" s="75" t="n">
        <x:v>0</x:v>
      </x:c>
      <x:c r="Q30" s="75" t="n">
        <x:v>1</x:v>
      </x:c>
      <x:c r="R30" s="76" t="n">
        <x:f>IF(E30="","",IFERROR(F30/E30,0))</x:f>
        <x:v>0.85</x:v>
      </x:c>
      <x:c r="S30" s="76" t="n">
        <x:f>IF(F30="","",IFERROR(G30/F30,0))</x:f>
        <x:v>1</x:v>
      </x:c>
      <x:c r="T30" s="76" t="n">
        <x:f>IF(M30="","",IFERROR(SUMPRODUCT(H30:L30,{1,2,3,4,5})/(5*M30),0))</x:f>
        <x:v>0.24651162790697675</x:v>
      </x:c>
      <x:c r="U30" s="77" t="n">
        <x:f>IF(E30="","",O30+P30+Q30)</x:f>
        <x:v>1</x:v>
      </x:c>
      <x:c r="V30" s="76" t="n">
        <x:f>IF(E30="","",Legend!$B$21*S30+Legend!$B$22*R30+Legend!$B$23*(1-T30)-Legend!$B$24*N30)</x:f>
        <x:v>0.7810465116279068</x:v>
      </x:c>
    </x:row>
    <x:row r="31">
      <x:c r="A31" s="73" t="n">
        <x:v>15</x:v>
      </x:c>
      <x:c r="B31" s="74" t="str">
        <x:v>Electric Toothbrush</x:v>
      </x:c>
      <x:c r="C31" s="74" t="str">
        <x:v>A</x:v>
      </x:c>
      <x:c r="D31" s="74" t="str">
        <x:v>Publisher A (blinded)</x:v>
      </x:c>
      <x:c r="E31" s="75" t="n">
        <x:v>22</x:v>
      </x:c>
      <x:c r="F31" s="75" t="n">
        <x:v>21</x:v>
      </x:c>
      <x:c r="G31" s="75" t="n">
        <x:v>21</x:v>
      </x:c>
      <x:c r="H31" s="75" t="n">
        <x:v>11</x:v>
      </x:c>
      <x:c r="I31" s="75" t="n">
        <x:v>5</x:v>
      </x:c>
      <x:c r="J31" s="75" t="n">
        <x:v>10</x:v>
      </x:c>
      <x:c r="K31" s="75" t="n">
        <x:v>2</x:v>
      </x:c>
      <x:c r="L31" s="75" t="n">
        <x:v>0</x:v>
      </x:c>
      <x:c r="M31" s="75" t="n">
        <x:v>76</x:v>
      </x:c>
      <x:c r="N31" s="75" t="n">
        <x:v>0</x:v>
      </x:c>
      <x:c r="O31" s="75" t="n">
        <x:v>0</x:v>
      </x:c>
      <x:c r="P31" s="75" t="n">
        <x:v>1</x:v>
      </x:c>
      <x:c r="Q31" s="75" t="n">
        <x:v>1</x:v>
      </x:c>
      <x:c r="R31" s="76" t="n">
        <x:f>IF(E31="","",IFERROR(F31/E31,0))</x:f>
        <x:v>0.9545454545454546</x:v>
      </x:c>
      <x:c r="S31" s="76" t="n">
        <x:f>IF(F31="","",IFERROR(G31/F31,0))</x:f>
        <x:v>1</x:v>
      </x:c>
      <x:c r="T31" s="76" t="n">
        <x:f>IF(M31="","",IFERROR(SUMPRODUCT(H31:L31,{1,2,3,4,5})/(5*M31),0))</x:f>
        <x:v>0.15526315789473685</x:v>
      </x:c>
      <x:c r="U31" s="77" t="n">
        <x:f>IF(E31="","",O31+P31+Q31)</x:f>
        <x:v>2</x:v>
      </x:c>
      <x:c r="V31" s="76" t="n">
        <x:f>IF(E31="","",Legend!$B$21*S31+Legend!$B$22*R31+Legend!$B$23*(1-T31)-Legend!$B$24*N31)</x:f>
        <x:v>0.8397846889952154</x:v>
      </x:c>
    </x:row>
    <x:row r="32">
      <x:c r="A32" s="73" t="n">
        <x:v>15</x:v>
      </x:c>
      <x:c r="B32" s="74" t="str">
        <x:v>Electric Toothbrush</x:v>
      </x:c>
      <x:c r="C32" s="74" t="str">
        <x:v>B</x:v>
      </x:c>
      <x:c r="D32" s="74" t="str">
        <x:v>Publisher B (blinded)</x:v>
      </x:c>
      <x:c r="E32" s="75" t="n">
        <x:v>22</x:v>
      </x:c>
      <x:c r="F32" s="75" t="n">
        <x:v>20</x:v>
      </x:c>
      <x:c r="G32" s="75" t="n">
        <x:v>19</x:v>
      </x:c>
      <x:c r="H32" s="75" t="n">
        <x:v>10</x:v>
      </x:c>
      <x:c r="I32" s="75" t="n">
        <x:v>3</x:v>
      </x:c>
      <x:c r="J32" s="75" t="n">
        <x:v>3</x:v>
      </x:c>
      <x:c r="K32" s="75" t="n">
        <x:v>5</x:v>
      </x:c>
      <x:c r="L32" s="75" t="n">
        <x:v>2</x:v>
      </x:c>
      <x:c r="M32" s="75" t="n">
        <x:v>57</x:v>
      </x:c>
      <x:c r="N32" s="75" t="n">
        <x:v>0</x:v>
      </x:c>
      <x:c r="O32" s="75" t="n">
        <x:v>0</x:v>
      </x:c>
      <x:c r="P32" s="75" t="n">
        <x:v>1</x:v>
      </x:c>
      <x:c r="Q32" s="75" t="n">
        <x:v>0</x:v>
      </x:c>
      <x:c r="R32" s="76" t="n">
        <x:f>IF(E32="","",IFERROR(F32/E32,0))</x:f>
        <x:v>0.9090909090909091</x:v>
      </x:c>
      <x:c r="S32" s="76" t="n">
        <x:f>IF(F32="","",IFERROR(G32/F32,0))</x:f>
        <x:v>0.95</x:v>
      </x:c>
      <x:c r="T32" s="76" t="n">
        <x:f>IF(M32="","",IFERROR(SUMPRODUCT(H32:L32,{1,2,3,4,5})/(5*M32),0))</x:f>
        <x:v>0.19298245614035087</x:v>
      </x:c>
      <x:c r="U32" s="77" t="n">
        <x:f>IF(E32="","",O32+P32+Q32)</x:f>
        <x:v>1</x:v>
      </x:c>
      <x:c r="V32" s="76" t="n">
        <x:f>IF(E32="","",Legend!$B$21*S32+Legend!$B$22*R32+Legend!$B$23*(1-T32)-Legend!$B$24*N32)</x:f>
        <x:v>0.7998325358851673</x:v>
      </x:c>
    </x:row>
    <x:row r="33">
      <x:c r="A33" s="73" t="n">
        <x:v>16</x:v>
      </x:c>
      <x:c r="B33" s="74" t="str">
        <x:v>Hiking Backpack</x:v>
      </x:c>
      <x:c r="C33" s="74" t="str">
        <x:v>A</x:v>
      </x:c>
      <x:c r="D33" s="74" t="str">
        <x:v>Publisher A (blinded)</x:v>
      </x:c>
      <x:c r="E33" s="75" t="n">
        <x:v>21</x:v>
      </x:c>
      <x:c r="F33" s="75" t="n">
        <x:v>16</x:v>
      </x:c>
      <x:c r="G33" s="75" t="n">
        <x:v>16</x:v>
      </x:c>
      <x:c r="H33" s="75" t="n">
        <x:v>13</x:v>
      </x:c>
      <x:c r="I33" s="75" t="n">
        <x:v>4</x:v>
      </x:c>
      <x:c r="J33" s="75" t="n">
        <x:v>1</x:v>
      </x:c>
      <x:c r="K33" s="75" t="n">
        <x:v>0</x:v>
      </x:c>
      <x:c r="L33" s="75" t="n">
        <x:v>0</x:v>
      </x:c>
      <x:c r="M33" s="75" t="n">
        <x:v>43</x:v>
      </x:c>
      <x:c r="N33" s="75" t="n">
        <x:v>0</x:v>
      </x:c>
      <x:c r="O33" s="75" t="n">
        <x:v>0</x:v>
      </x:c>
      <x:c r="P33" s="75" t="n">
        <x:v>1</x:v>
      </x:c>
      <x:c r="Q33" s="75" t="n">
        <x:v>0</x:v>
      </x:c>
      <x:c r="R33" s="76" t="n">
        <x:f>IF(E33="","",IFERROR(F33/E33,0))</x:f>
        <x:v>0.7619047619047619</x:v>
      </x:c>
      <x:c r="S33" s="76" t="n">
        <x:f>IF(F33="","",IFERROR(G33/F33,0))</x:f>
        <x:v>1</x:v>
      </x:c>
      <x:c r="T33" s="76" t="n">
        <x:f>IF(M33="","",IFERROR(SUMPRODUCT(H33:L33,{1,2,3,4,5})/(5*M33),0))</x:f>
        <x:v>0.11162790697674418</x:v>
      </x:c>
      <x:c r="U33" s="77" t="n">
        <x:f>IF(E33="","",O33+P33+Q33)</x:f>
        <x:v>1</x:v>
      </x:c>
      <x:c r="V33" s="76" t="n">
        <x:f>IF(E33="","",Legend!$B$21*S33+Legend!$B$22*R33+Legend!$B$23*(1-T33)-Legend!$B$24*N33)</x:f>
        <x:v>0.7950830564784053</x:v>
      </x:c>
    </x:row>
    <x:row r="34">
      <x:c r="A34" s="73" t="n">
        <x:v>16</x:v>
      </x:c>
      <x:c r="B34" s="74" t="str">
        <x:v>Hiking Backpack</x:v>
      </x:c>
      <x:c r="C34" s="74" t="str">
        <x:v>B</x:v>
      </x:c>
      <x:c r="D34" s="74" t="str">
        <x:v>Publisher B (blinded)</x:v>
      </x:c>
      <x:c r="E34" s="75" t="n">
        <x:v>21</x:v>
      </x:c>
      <x:c r="F34" s="75" t="n">
        <x:v>18</x:v>
      </x:c>
      <x:c r="G34" s="75" t="n">
        <x:v>18</x:v>
      </x:c>
      <x:c r="H34" s="75" t="n">
        <x:v>17</x:v>
      </x:c>
      <x:c r="I34" s="75" t="n">
        <x:v>1</x:v>
      </x:c>
      <x:c r="J34" s="75" t="n">
        <x:v>0</x:v>
      </x:c>
      <x:c r="K34" s="75" t="n">
        <x:v>1</x:v>
      </x:c>
      <x:c r="L34" s="75" t="n">
        <x:v>0</x:v>
      </x:c>
      <x:c r="M34" s="75" t="n">
        <x:v>53</x:v>
      </x:c>
      <x:c r="N34" s="75" t="n">
        <x:v>0</x:v>
      </x:c>
      <x:c r="O34" s="75" t="n">
        <x:v>0</x:v>
      </x:c>
      <x:c r="P34" s="75" t="n">
        <x:v>1</x:v>
      </x:c>
      <x:c r="Q34" s="75" t="n">
        <x:v>1</x:v>
      </x:c>
      <x:c r="R34" s="76" t="n">
        <x:f>IF(E34="","",IFERROR(F34/E34,0))</x:f>
        <x:v>0.8571428571428571</x:v>
      </x:c>
      <x:c r="S34" s="76" t="n">
        <x:f>IF(F34="","",IFERROR(G34/F34,0))</x:f>
        <x:v>1</x:v>
      </x:c>
      <x:c r="T34" s="76" t="n">
        <x:f>IF(M34="","",IFERROR(SUMPRODUCT(H34:L34,{1,2,3,4,5})/(5*M34),0))</x:f>
        <x:v>0.08679245283018867</x:v>
      </x:c>
      <x:c r="U34" s="77" t="n">
        <x:f>IF(E34="","",O34+P34+Q34)</x:f>
        <x:v>2</x:v>
      </x:c>
      <x:c r="V34" s="76" t="n">
        <x:f>IF(E34="","",Legend!$B$21*S34+Legend!$B$22*R34+Legend!$B$23*(1-T34)-Legend!$B$24*N34)</x:f>
        <x:v>0.8311051212938005</x:v>
      </x:c>
    </x:row>
    <x:row r="35">
      <x:c r="A35" s="73" t="n">
        <x:v>17</x:v>
      </x:c>
      <x:c r="B35" s="74" t="str">
        <x:v>Water Filter</x:v>
      </x:c>
      <x:c r="C35" s="74" t="str">
        <x:v>A</x:v>
      </x:c>
      <x:c r="D35" s="74" t="str">
        <x:v>Publisher A (blinded)</x:v>
      </x:c>
      <x:c r="E35" s="75" t="n">
        <x:v>17</x:v>
      </x:c>
      <x:c r="F35" s="75" t="n">
        <x:v>17</x:v>
      </x:c>
      <x:c r="G35" s="75" t="n">
        <x:v>17</x:v>
      </x:c>
      <x:c r="H35" s="75" t="n">
        <x:v>7</x:v>
      </x:c>
      <x:c r="I35" s="75" t="n">
        <x:v>0</x:v>
      </x:c>
      <x:c r="J35" s="75" t="n">
        <x:v>0</x:v>
      </x:c>
      <x:c r="K35" s="75" t="n">
        <x:v>1</x:v>
      </x:c>
      <x:c r="L35" s="75" t="n">
        <x:v>0</x:v>
      </x:c>
      <x:c r="M35" s="75" t="n">
        <x:v>37</x:v>
      </x:c>
      <x:c r="N35" s="75" t="n">
        <x:v>0</x:v>
      </x:c>
      <x:c r="O35" s="75" t="n">
        <x:v>0</x:v>
      </x:c>
      <x:c r="P35" s="75" t="n">
        <x:v>1</x:v>
      </x:c>
      <x:c r="Q35" s="75" t="n">
        <x:v>0</x:v>
      </x:c>
      <x:c r="R35" s="76" t="n">
        <x:f>IF(E35="","",IFERROR(F35/E35,0))</x:f>
        <x:v>1</x:v>
      </x:c>
      <x:c r="S35" s="76" t="n">
        <x:f>IF(F35="","",IFERROR(G35/F35,0))</x:f>
        <x:v>1</x:v>
      </x:c>
      <x:c r="T35" s="76" t="n">
        <x:f>IF(M35="","",IFERROR(SUMPRODUCT(H35:L35,{1,2,3,4,5})/(5*M35),0))</x:f>
        <x:v>0.05945945945945946</x:v>
      </x:c>
      <x:c r="U35" s="77" t="n">
        <x:f>IF(E35="","",O35+P35+Q35)</x:f>
        <x:v>1</x:v>
      </x:c>
      <x:c r="V35" s="76" t="n">
        <x:f>IF(E35="","",Legend!$B$21*S35+Legend!$B$22*R35+Legend!$B$23*(1-T35)-Legend!$B$24*N35)</x:f>
        <x:v>0.882162162162162</x:v>
      </x:c>
    </x:row>
    <x:row r="36">
      <x:c r="A36" s="73" t="n">
        <x:v>17</x:v>
      </x:c>
      <x:c r="B36" s="74" t="str">
        <x:v>Water Filter</x:v>
      </x:c>
      <x:c r="C36" s="74" t="str">
        <x:v>B</x:v>
      </x:c>
      <x:c r="D36" s="74" t="str">
        <x:v>Publisher B (blinded)</x:v>
      </x:c>
      <x:c r="E36" s="75" t="n">
        <x:v>17</x:v>
      </x:c>
      <x:c r="F36" s="75" t="n">
        <x:v>17</x:v>
      </x:c>
      <x:c r="G36" s="75" t="n">
        <x:v>17</x:v>
      </x:c>
      <x:c r="H36" s="75" t="n">
        <x:v>8</x:v>
      </x:c>
      <x:c r="I36" s="75" t="n">
        <x:v>0</x:v>
      </x:c>
      <x:c r="J36" s="75" t="n">
        <x:v>1</x:v>
      </x:c>
      <x:c r="K36" s="75" t="n">
        <x:v>2</x:v>
      </x:c>
      <x:c r="L36" s="75" t="n">
        <x:v>0</x:v>
      </x:c>
      <x:c r="M36" s="75" t="n">
        <x:v>32</x:v>
      </x:c>
      <x:c r="N36" s="75" t="n">
        <x:v>0</x:v>
      </x:c>
      <x:c r="O36" s="75" t="n">
        <x:v>0</x:v>
      </x:c>
      <x:c r="P36" s="75" t="n">
        <x:v>1</x:v>
      </x:c>
      <x:c r="Q36" s="75" t="n">
        <x:v>1</x:v>
      </x:c>
      <x:c r="R36" s="76" t="n">
        <x:f>IF(E36="","",IFERROR(F36/E36,0))</x:f>
        <x:v>1</x:v>
      </x:c>
      <x:c r="S36" s="76" t="n">
        <x:f>IF(F36="","",IFERROR(G36/F36,0))</x:f>
        <x:v>1</x:v>
      </x:c>
      <x:c r="T36" s="76" t="n">
        <x:f>IF(M36="","",IFERROR(SUMPRODUCT(H36:L36,{1,2,3,4,5})/(5*M36),0))</x:f>
        <x:v>0.11875</x:v>
      </x:c>
      <x:c r="U36" s="77" t="n">
        <x:f>IF(E36="","",O36+P36+Q36)</x:f>
        <x:v>2</x:v>
      </x:c>
      <x:c r="V36" s="76" t="n">
        <x:f>IF(E36="","",Legend!$B$21*S36+Legend!$B$22*R36+Legend!$B$23*(1-T36)-Legend!$B$24*N36)</x:f>
        <x:v>0.8643749999999999</x:v>
      </x:c>
    </x:row>
    <x:row r="37">
      <x:c r="A37" s="73" t="n">
        <x:v>18</x:v>
      </x:c>
      <x:c r="B37" s="74" t="str">
        <x:v>Coffee Brewing</x:v>
      </x:c>
      <x:c r="C37" s="74" t="str">
        <x:v>A</x:v>
      </x:c>
      <x:c r="D37" s="74" t="str">
        <x:v>Publisher A (blinded)</x:v>
      </x:c>
      <x:c r="E37" s="75" t="n">
        <x:v>19</x:v>
      </x:c>
      <x:c r="F37" s="75" t="n">
        <x:v>18</x:v>
      </x:c>
      <x:c r="G37" s="75" t="n">
        <x:v>18</x:v>
      </x:c>
      <x:c r="H37" s="75" t="n">
        <x:v>10</x:v>
      </x:c>
      <x:c r="I37" s="75" t="n">
        <x:v>2</x:v>
      </x:c>
      <x:c r="J37" s="75" t="n">
        <x:v>2</x:v>
      </x:c>
      <x:c r="K37" s="75" t="n">
        <x:v>1</x:v>
      </x:c>
      <x:c r="L37" s="75" t="n">
        <x:v>0</x:v>
      </x:c>
      <x:c r="M37" s="75" t="n">
        <x:v>46</x:v>
      </x:c>
      <x:c r="N37" s="75" t="n">
        <x:v>0</x:v>
      </x:c>
      <x:c r="O37" s="75" t="n">
        <x:v>0</x:v>
      </x:c>
      <x:c r="P37" s="75" t="n">
        <x:v>1</x:v>
      </x:c>
      <x:c r="Q37" s="75" t="n">
        <x:v>1</x:v>
      </x:c>
      <x:c r="R37" s="76" t="n">
        <x:f>IF(E37="","",IFERROR(F37/E37,0))</x:f>
        <x:v>0.9473684210526315</x:v>
      </x:c>
      <x:c r="S37" s="76" t="n">
        <x:f>IF(F37="","",IFERROR(G37/F37,0))</x:f>
        <x:v>1</x:v>
      </x:c>
      <x:c r="T37" s="76" t="n">
        <x:f>IF(M37="","",IFERROR(SUMPRODUCT(H37:L37,{1,2,3,4,5})/(5*M37),0))</x:f>
        <x:v>0.10434782608695652</x:v>
      </x:c>
      <x:c r="U37" s="77" t="n">
        <x:f>IF(E37="","",O37+P37+Q37)</x:f>
        <x:v>2</x:v>
      </x:c>
      <x:c r="V37" s="76" t="n">
        <x:f>IF(E37="","",Legend!$B$21*S37+Legend!$B$22*R37+Legend!$B$23*(1-T37)-Legend!$B$24*N37)</x:f>
        <x:v>0.8529061784897025</x:v>
      </x:c>
    </x:row>
    <x:row r="38">
      <x:c r="A38" s="73" t="n">
        <x:v>18</x:v>
      </x:c>
      <x:c r="B38" s="74" t="str">
        <x:v>Coffee Brewing</x:v>
      </x:c>
      <x:c r="C38" s="74" t="str">
        <x:v>B</x:v>
      </x:c>
      <x:c r="D38" s="74" t="str">
        <x:v>Publisher B (blinded)</x:v>
      </x:c>
      <x:c r="E38" s="75" t="n">
        <x:v>19</x:v>
      </x:c>
      <x:c r="F38" s="75" t="n">
        <x:v>18</x:v>
      </x:c>
      <x:c r="G38" s="75" t="n">
        <x:v>18</x:v>
      </x:c>
      <x:c r="H38" s="75" t="n">
        <x:v>14</x:v>
      </x:c>
      <x:c r="I38" s="75" t="n">
        <x:v>4</x:v>
      </x:c>
      <x:c r="J38" s="75" t="n">
        <x:v>0</x:v>
      </x:c>
      <x:c r="K38" s="75" t="n">
        <x:v>0</x:v>
      </x:c>
      <x:c r="L38" s="75" t="n">
        <x:v>0</x:v>
      </x:c>
      <x:c r="M38" s="75" t="n">
        <x:v>52</x:v>
      </x:c>
      <x:c r="N38" s="75" t="n">
        <x:v>0</x:v>
      </x:c>
      <x:c r="O38" s="75" t="n">
        <x:v>0</x:v>
      </x:c>
      <x:c r="P38" s="75" t="n">
        <x:v>1</x:v>
      </x:c>
      <x:c r="Q38" s="75" t="n">
        <x:v>1</x:v>
      </x:c>
      <x:c r="R38" s="76" t="n">
        <x:f>IF(E38="","",IFERROR(F38/E38,0))</x:f>
        <x:v>0.9473684210526315</x:v>
      </x:c>
      <x:c r="S38" s="76" t="n">
        <x:f>IF(F38="","",IFERROR(G38/F38,0))</x:f>
        <x:v>1</x:v>
      </x:c>
      <x:c r="T38" s="76" t="n">
        <x:f>IF(M38="","",IFERROR(SUMPRODUCT(H38:L38,{1,2,3,4,5})/(5*M38),0))</x:f>
        <x:v>0.08461538461538462</x:v>
      </x:c>
      <x:c r="U38" s="77" t="n">
        <x:f>IF(E38="","",O38+P38+Q38)</x:f>
        <x:v>2</x:v>
      </x:c>
      <x:c r="V38" s="76" t="n">
        <x:f>IF(E38="","",Legend!$B$21*S38+Legend!$B$22*R38+Legend!$B$23*(1-T38)-Legend!$B$24*N38)</x:f>
        <x:v>0.8588259109311741</x:v>
      </x:c>
    </x:row>
    <x:row r="39">
      <x:c r="A39" s="73" t="n">
        <x:v>19</x:v>
      </x:c>
      <x:c r="B39" s="74" t="str">
        <x:v>Honey</x:v>
      </x:c>
      <x:c r="C39" s="74" t="str">
        <x:v>A</x:v>
      </x:c>
      <x:c r="D39" s="74" t="str">
        <x:v>Publisher A (blinded)</x:v>
      </x:c>
      <x:c r="E39" s="75" t="n">
        <x:v>20</x:v>
      </x:c>
      <x:c r="F39" s="75" t="n">
        <x:v>17</x:v>
      </x:c>
      <x:c r="G39" s="75" t="n">
        <x:v>17</x:v>
      </x:c>
      <x:c r="H39" s="75" t="n">
        <x:v>17</x:v>
      </x:c>
      <x:c r="I39" s="75" t="n">
        <x:v>0</x:v>
      </x:c>
      <x:c r="J39" s="75" t="n">
        <x:v>3</x:v>
      </x:c>
      <x:c r="K39" s="75" t="n">
        <x:v>0</x:v>
      </x:c>
      <x:c r="L39" s="75" t="n">
        <x:v>0</x:v>
      </x:c>
      <x:c r="M39" s="75" t="n">
        <x:v>46</x:v>
      </x:c>
      <x:c r="N39" s="75" t="n">
        <x:v>0</x:v>
      </x:c>
      <x:c r="O39" s="75" t="n">
        <x:v>0</x:v>
      </x:c>
      <x:c r="P39" s="75" t="n">
        <x:v>1</x:v>
      </x:c>
      <x:c r="Q39" s="75" t="n">
        <x:v>1</x:v>
      </x:c>
      <x:c r="R39" s="76" t="n">
        <x:f>IF(E39="","",IFERROR(F39/E39,0))</x:f>
        <x:v>0.85</x:v>
      </x:c>
      <x:c r="S39" s="76" t="n">
        <x:f>IF(F39="","",IFERROR(G39/F39,0))</x:f>
        <x:v>1</x:v>
      </x:c>
      <x:c r="T39" s="76" t="n">
        <x:f>IF(M39="","",IFERROR(SUMPRODUCT(H39:L39,{1,2,3,4,5})/(5*M39),0))</x:f>
        <x:v>0.11304347826086956</x:v>
      </x:c>
      <x:c r="U39" s="77" t="n">
        <x:f>IF(E39="","",O39+P39+Q39)</x:f>
        <x:v>2</x:v>
      </x:c>
      <x:c r="V39" s="76" t="n">
        <x:f>IF(E39="","",Legend!$B$21*S39+Legend!$B$22*R39+Legend!$B$23*(1-T39)-Legend!$B$24*N39)</x:f>
        <x:v>0.8210869565217391</x:v>
      </x:c>
    </x:row>
    <x:row r="40">
      <x:c r="A40" s="73" t="n">
        <x:v>19</x:v>
      </x:c>
      <x:c r="B40" s="74" t="str">
        <x:v>Honey</x:v>
      </x:c>
      <x:c r="C40" s="74" t="str">
        <x:v>B</x:v>
      </x:c>
      <x:c r="D40" s="74" t="str">
        <x:v>Publisher B (blinded)</x:v>
      </x:c>
      <x:c r="E40" s="75" t="n">
        <x:v>20</x:v>
      </x:c>
      <x:c r="F40" s="75" t="n">
        <x:v>18</x:v>
      </x:c>
      <x:c r="G40" s="75" t="n">
        <x:v>18</x:v>
      </x:c>
      <x:c r="H40" s="75" t="n">
        <x:v>13</x:v>
      </x:c>
      <x:c r="I40" s="75" t="n">
        <x:v>0</x:v>
      </x:c>
      <x:c r="J40" s="75" t="n">
        <x:v>3</x:v>
      </x:c>
      <x:c r="K40" s="75" t="n">
        <x:v>4</x:v>
      </x:c>
      <x:c r="L40" s="75" t="n">
        <x:v>0</x:v>
      </x:c>
      <x:c r="M40" s="75" t="n">
        <x:v>46</x:v>
      </x:c>
      <x:c r="N40" s="75" t="n">
        <x:v>0</x:v>
      </x:c>
      <x:c r="O40" s="75" t="n">
        <x:v>0</x:v>
      </x:c>
      <x:c r="P40" s="75" t="n">
        <x:v>1</x:v>
      </x:c>
      <x:c r="Q40" s="75" t="n">
        <x:v>1</x:v>
      </x:c>
      <x:c r="R40" s="76" t="n">
        <x:f>IF(E40="","",IFERROR(F40/E40,0))</x:f>
        <x:v>0.9</x:v>
      </x:c>
      <x:c r="S40" s="76" t="n">
        <x:f>IF(F40="","",IFERROR(G40/F40,0))</x:f>
        <x:v>1</x:v>
      </x:c>
      <x:c r="T40" s="76" t="n">
        <x:f>IF(M40="","",IFERROR(SUMPRODUCT(H40:L40,{1,2,3,4,5})/(5*M40),0))</x:f>
        <x:v>0.16521739130434782</x:v>
      </x:c>
      <x:c r="U40" s="77" t="n">
        <x:f>IF(E40="","",O40+P40+Q40)</x:f>
        <x:v>2</x:v>
      </x:c>
      <x:c r="V40" s="76" t="n">
        <x:f>IF(E40="","",Legend!$B$21*S40+Legend!$B$22*R40+Legend!$B$23*(1-T40)-Legend!$B$24*N40)</x:f>
        <x:v>0.8204347826086957</x:v>
      </x:c>
    </x:row>
    <x:row r="41">
      <x:c r="A41" s="73" t="n">
        <x:v>20</x:v>
      </x:c>
      <x:c r="B41" s="74" t="str">
        <x:v>Herbal Hair Oil</x:v>
      </x:c>
      <x:c r="C41" s="74" t="str">
        <x:v>A</x:v>
      </x:c>
      <x:c r="D41" s="74" t="str">
        <x:v>Publisher A (blinded)</x:v>
      </x:c>
      <x:c r="E41" s="75" t="n">
        <x:v>20</x:v>
      </x:c>
      <x:c r="F41" s="75" t="n">
        <x:v>19</x:v>
      </x:c>
      <x:c r="G41" s="75" t="n">
        <x:v>19</x:v>
      </x:c>
      <x:c r="H41" s="75" t="n">
        <x:v>7</x:v>
      </x:c>
      <x:c r="I41" s="75" t="n">
        <x:v>0</x:v>
      </x:c>
      <x:c r="J41" s="75" t="n">
        <x:v>2</x:v>
      </x:c>
      <x:c r="K41" s="75" t="n">
        <x:v>1</x:v>
      </x:c>
      <x:c r="L41" s="75" t="n">
        <x:v>2</x:v>
      </x:c>
      <x:c r="M41" s="75" t="n">
        <x:v>44</x:v>
      </x:c>
      <x:c r="N41" s="75" t="n">
        <x:v>0</x:v>
      </x:c>
      <x:c r="O41" s="75" t="n">
        <x:v>0</x:v>
      </x:c>
      <x:c r="P41" s="75" t="n">
        <x:v>1</x:v>
      </x:c>
      <x:c r="Q41" s="75" t="n">
        <x:v>0</x:v>
      </x:c>
      <x:c r="R41" s="76" t="n">
        <x:f>IF(E41="","",IFERROR(F41/E41,0))</x:f>
        <x:v>0.95</x:v>
      </x:c>
      <x:c r="S41" s="76" t="n">
        <x:f>IF(F41="","",IFERROR(G41/F41,0))</x:f>
        <x:v>1</x:v>
      </x:c>
      <x:c r="T41" s="76" t="n">
        <x:f>IF(M41="","",IFERROR(SUMPRODUCT(H41:L41,{1,2,3,4,5})/(5*M41),0))</x:f>
        <x:v>0.12272727272727273</x:v>
      </x:c>
      <x:c r="U41" s="77" t="n">
        <x:f>IF(E41="","",O41+P41+Q41)</x:f>
        <x:v>1</x:v>
      </x:c>
      <x:c r="V41" s="76" t="n">
        <x:f>IF(E41="","",Legend!$B$21*S41+Legend!$B$22*R41+Legend!$B$23*(1-T41)-Legend!$B$24*N41)</x:f>
        <x:v>0.8481818181818181</x:v>
      </x:c>
    </x:row>
    <x:row r="42">
      <x:c r="A42" s="73" t="n">
        <x:v>20</x:v>
      </x:c>
      <x:c r="B42" s="74" t="str">
        <x:v>Herbal Hair Oil</x:v>
      </x:c>
      <x:c r="C42" s="74" t="str">
        <x:v>B</x:v>
      </x:c>
      <x:c r="D42" s="74" t="str">
        <x:v>Publisher B (blinded)</x:v>
      </x:c>
      <x:c r="E42" s="75" t="n">
        <x:v>20</x:v>
      </x:c>
      <x:c r="F42" s="75" t="n">
        <x:v>19</x:v>
      </x:c>
      <x:c r="G42" s="75" t="n">
        <x:v>19</x:v>
      </x:c>
      <x:c r="H42" s="75" t="n">
        <x:v>10</x:v>
      </x:c>
      <x:c r="I42" s="75" t="n">
        <x:v>0</x:v>
      </x:c>
      <x:c r="J42" s="75" t="n">
        <x:v>3</x:v>
      </x:c>
      <x:c r="K42" s="75" t="n">
        <x:v>2</x:v>
      </x:c>
      <x:c r="L42" s="75" t="n">
        <x:v>1</x:v>
      </x:c>
      <x:c r="M42" s="75" t="n">
        <x:v>45</x:v>
      </x:c>
      <x:c r="N42" s="75" t="n">
        <x:v>0</x:v>
      </x:c>
      <x:c r="O42" s="75" t="n">
        <x:v>0</x:v>
      </x:c>
      <x:c r="P42" s="75" t="n">
        <x:v>1</x:v>
      </x:c>
      <x:c r="Q42" s="75" t="n">
        <x:v>0</x:v>
      </x:c>
      <x:c r="R42" s="76" t="n">
        <x:f>IF(E42="","",IFERROR(F42/E42,0))</x:f>
        <x:v>0.95</x:v>
      </x:c>
      <x:c r="S42" s="76" t="n">
        <x:f>IF(F42="","",IFERROR(G42/F42,0))</x:f>
        <x:v>1</x:v>
      </x:c>
      <x:c r="T42" s="76" t="n">
        <x:f>IF(M42="","",IFERROR(SUMPRODUCT(H42:L42,{1,2,3,4,5})/(5*M42),0))</x:f>
        <x:v>0.14222222222222222</x:v>
      </x:c>
      <x:c r="U42" s="77" t="n">
        <x:f>IF(E42="","",O42+P42+Q42)</x:f>
        <x:v>1</x:v>
      </x:c>
      <x:c r="V42" s="76" t="n">
        <x:f>IF(E42="","",Legend!$B$21*S42+Legend!$B$22*R42+Legend!$B$23*(1-T42)-Legend!$B$24*N42)</x:f>
        <x:v>0.8423333333333333</x:v>
      </x:c>
    </x:row>
    <x:row r="43">
      <x:c r="A43" t="n">
        <x:v>21</x:v>
      </x:c>
      <x:c r="B43" t="str">
        <x:v>Face Cleanser</x:v>
      </x:c>
      <x:c r="C43" t="str">
        <x:v>A</x:v>
      </x:c>
      <x:c r="D43" t="str">
        <x:v>Publisher A (blinded)</x:v>
      </x:c>
      <x:c r="E43" t="n">
        <x:v>16</x:v>
      </x:c>
      <x:c r="F43" t="n">
        <x:v>16</x:v>
      </x:c>
      <x:c r="G43" t="n">
        <x:v>15</x:v>
      </x:c>
      <x:c r="H43" t="n">
        <x:v>12</x:v>
      </x:c>
      <x:c r="I43" t="n">
        <x:v>8</x:v>
      </x:c>
      <x:c r="J43" t="n">
        <x:v>5</x:v>
      </x:c>
      <x:c r="K43" t="n">
        <x:v>0</x:v>
      </x:c>
      <x:c r="L43" t="n">
        <x:v>0</x:v>
      </x:c>
      <x:c r="M43" t="n">
        <x:v>53</x:v>
      </x:c>
      <x:c r="N43" t="n">
        <x:v>0</x:v>
      </x:c>
      <x:c r="O43" t="n">
        <x:v>0</x:v>
      </x:c>
      <x:c r="P43" t="n">
        <x:v>1</x:v>
      </x:c>
      <x:c r="Q43" t="n">
        <x:v>1</x:v>
      </x:c>
      <x:c r="R43" s="89" t="n">
        <x:f>IFERROR(F43/E43,0)</x:f>
        <x:v>1</x:v>
      </x:c>
      <x:c r="S43" s="89" t="n">
        <x:f>IFERROR(G43/F43,0)</x:f>
        <x:v>0.9375</x:v>
      </x:c>
      <x:c r="T43" s="89" t="n">
        <x:f>IFERROR((H43+2*I43+3*J43+4*K43+5*L43)/(5*M43),0)</x:f>
        <x:v>0.16226415094339622</x:v>
      </x:c>
      <x:c r="U43" t="n">
        <x:f>SUM(O43:Q43)</x:f>
        <x:v>2</x:v>
      </x:c>
      <x:c r="V43" s="89" t="n">
        <x:f>0.3*S43+0.3*R43+0.3*(1-T43)-0.1*N43</x:f>
        <x:v>0.8325707547169812</x:v>
      </x:c>
    </x:row>
    <x:row r="44">
      <x:c r="A44" t="n">
        <x:v>21</x:v>
      </x:c>
      <x:c r="B44" t="str">
        <x:v>Face Cleanser</x:v>
      </x:c>
      <x:c r="C44" t="str">
        <x:v>B</x:v>
      </x:c>
      <x:c r="D44" t="str">
        <x:v>Publisher B (blinded)</x:v>
      </x:c>
      <x:c r="E44" t="n">
        <x:v>16</x:v>
      </x:c>
      <x:c r="F44" t="n">
        <x:v>16</x:v>
      </x:c>
      <x:c r="G44" t="n">
        <x:v>15</x:v>
      </x:c>
      <x:c r="H44" t="n">
        <x:v>17</x:v>
      </x:c>
      <x:c r="I44" t="n">
        <x:v>8</x:v>
      </x:c>
      <x:c r="J44" t="n">
        <x:v>3</x:v>
      </x:c>
      <x:c r="K44" t="n">
        <x:v>1</x:v>
      </x:c>
      <x:c r="L44" t="n">
        <x:v>0</x:v>
      </x:c>
      <x:c r="M44" t="n">
        <x:v>58</x:v>
      </x:c>
      <x:c r="N44" t="n">
        <x:v>0</x:v>
      </x:c>
      <x:c r="O44" t="n">
        <x:v>0</x:v>
      </x:c>
      <x:c r="P44" t="n">
        <x:v>1</x:v>
      </x:c>
      <x:c r="Q44" t="n">
        <x:v>1</x:v>
      </x:c>
      <x:c r="R44" s="89" t="n">
        <x:f>IFERROR(F44/E44,0)</x:f>
        <x:v>1</x:v>
      </x:c>
      <x:c r="S44" s="89" t="n">
        <x:f>IFERROR(G44/F44,0)</x:f>
        <x:v>0.9375</x:v>
      </x:c>
      <x:c r="T44" s="89" t="n">
        <x:f>IFERROR((H44+2*I44+3*J44+4*K44+5*L44)/(5*M44),0)</x:f>
        <x:v>0.15862068965517243</x:v>
      </x:c>
      <x:c r="U44" t="n">
        <x:f>SUM(O44:Q44)</x:f>
        <x:v>2</x:v>
      </x:c>
      <x:c r="V44" s="89" t="n">
        <x:f>0.3*S44+0.3*R44+0.3*(1-T44)-0.1*N44</x:f>
        <x:v>0.8336637931034483</x:v>
      </x:c>
    </x:row>
    <x:row r="45">
      <x:c r="A45" t="n">
        <x:v>22</x:v>
      </x:c>
      <x:c r="B45" t="str">
        <x:v>Bluetooth Speaker</x:v>
      </x:c>
      <x:c r="C45" t="str">
        <x:v>A</x:v>
      </x:c>
      <x:c r="D45" t="str">
        <x:v>Publisher A (blinded)</x:v>
      </x:c>
      <x:c r="E45" t="n">
        <x:v>18</x:v>
      </x:c>
      <x:c r="F45" t="n">
        <x:v>18</x:v>
      </x:c>
      <x:c r="G45" t="n">
        <x:v>18</x:v>
      </x:c>
      <x:c r="H45" t="n">
        <x:v>16</x:v>
      </x:c>
      <x:c r="I45" t="n">
        <x:v>5</x:v>
      </x:c>
      <x:c r="J45" t="n">
        <x:v>0</x:v>
      </x:c>
      <x:c r="K45" t="n">
        <x:v>0</x:v>
      </x:c>
      <x:c r="L45" t="n">
        <x:v>0</x:v>
      </x:c>
      <x:c r="M45" t="n">
        <x:v>51</x:v>
      </x:c>
      <x:c r="N45" t="n">
        <x:v>0</x:v>
      </x:c>
      <x:c r="O45" t="n">
        <x:v>0</x:v>
      </x:c>
      <x:c r="P45" t="n">
        <x:v>1</x:v>
      </x:c>
      <x:c r="Q45" t="n">
        <x:v>0</x:v>
      </x:c>
      <x:c r="R45" s="89" t="n">
        <x:f>IFERROR(F45/E45,0)</x:f>
        <x:v>1</x:v>
      </x:c>
      <x:c r="S45" s="89" t="n">
        <x:f>IFERROR(G45/F45,0)</x:f>
        <x:v>1</x:v>
      </x:c>
      <x:c r="T45" s="89" t="n">
        <x:f>IFERROR((H45+2*I45+3*J45+4*K45+5*L45)/(5*M45),0)</x:f>
        <x:v>0.10196078431372549</x:v>
      </x:c>
      <x:c r="U45" t="n">
        <x:f>SUM(O45:Q45)</x:f>
        <x:v>1</x:v>
      </x:c>
      <x:c r="V45" s="89" t="n">
        <x:f>0.3*S45+0.3*R45+0.3*(1-T45)-0.1*N45</x:f>
        <x:v>0.8694117647058823</x:v>
      </x:c>
    </x:row>
    <x:row r="46">
      <x:c r="A46" t="n">
        <x:v>22</x:v>
      </x:c>
      <x:c r="B46" t="str">
        <x:v>Bluetooth Speaker</x:v>
      </x:c>
      <x:c r="C46" t="str">
        <x:v>B</x:v>
      </x:c>
      <x:c r="D46" t="str">
        <x:v>Publisher B (blinded)</x:v>
      </x:c>
      <x:c r="E46" t="n">
        <x:v>18</x:v>
      </x:c>
      <x:c r="F46" t="n">
        <x:v>17</x:v>
      </x:c>
      <x:c r="G46" t="n">
        <x:v>17</x:v>
      </x:c>
      <x:c r="H46" t="n">
        <x:v>24</x:v>
      </x:c>
      <x:c r="I46" t="n">
        <x:v>10</x:v>
      </x:c>
      <x:c r="J46" t="n">
        <x:v>0</x:v>
      </x:c>
      <x:c r="K46" t="n">
        <x:v>0</x:v>
      </x:c>
      <x:c r="L46" t="n">
        <x:v>0</x:v>
      </x:c>
      <x:c r="M46" t="n">
        <x:v>60</x:v>
      </x:c>
      <x:c r="N46" t="n">
        <x:v>0</x:v>
      </x:c>
      <x:c r="O46" t="n">
        <x:v>0</x:v>
      </x:c>
      <x:c r="P46" t="n">
        <x:v>1</x:v>
      </x:c>
      <x:c r="Q46" t="n">
        <x:v>1</x:v>
      </x:c>
      <x:c r="R46" s="89" t="n">
        <x:f>IFERROR(F46/E46,0)</x:f>
        <x:v>0.9444444444444444</x:v>
      </x:c>
      <x:c r="S46" s="89" t="n">
        <x:f>IFERROR(G46/F46,0)</x:f>
        <x:v>1</x:v>
      </x:c>
      <x:c r="T46" s="89" t="n">
        <x:f>IFERROR((H46+2*I46+3*J46+4*K46+5*L46)/(5*M46),0)</x:f>
        <x:v>0.14666666666666667</x:v>
      </x:c>
      <x:c r="U46" t="n">
        <x:f>SUM(O46:Q46)</x:f>
        <x:v>2</x:v>
      </x:c>
      <x:c r="V46" s="89" t="n">
        <x:f>0.3*S46+0.3*R46+0.3*(1-T46)-0.1*N46</x:f>
        <x:v>0.8393333333333333</x:v>
      </x:c>
    </x:row>
    <x:row r="47">
      <x:c r="A47" t="n">
        <x:v>23</x:v>
      </x:c>
      <x:c r="B47" t="str">
        <x:v>Cotton T-Shirt</x:v>
      </x:c>
      <x:c r="C47" t="str">
        <x:v>A</x:v>
      </x:c>
      <x:c r="D47" t="str">
        <x:v>Publisher A (blinded)</x:v>
      </x:c>
      <x:c r="E47" t="n">
        <x:v>15</x:v>
      </x:c>
      <x:c r="F47" t="n">
        <x:v>15</x:v>
      </x:c>
      <x:c r="G47" t="n">
        <x:v>14</x:v>
      </x:c>
      <x:c r="H47" t="n">
        <x:v>21</x:v>
      </x:c>
      <x:c r="I47" t="n">
        <x:v>5</x:v>
      </x:c>
      <x:c r="J47" t="n">
        <x:v>1</x:v>
      </x:c>
      <x:c r="K47" t="n">
        <x:v>0</x:v>
      </x:c>
      <x:c r="L47" t="n">
        <x:v>0</x:v>
      </x:c>
      <x:c r="M47" t="n">
        <x:v>54</x:v>
      </x:c>
      <x:c r="N47" t="n">
        <x:v>0</x:v>
      </x:c>
      <x:c r="O47" t="n">
        <x:v>0</x:v>
      </x:c>
      <x:c r="P47" t="n">
        <x:v>1</x:v>
      </x:c>
      <x:c r="Q47" t="n">
        <x:v>1</x:v>
      </x:c>
      <x:c r="R47" s="89" t="n">
        <x:f>IFERROR(F47/E47,0)</x:f>
        <x:v>1</x:v>
      </x:c>
      <x:c r="S47" s="89" t="n">
        <x:f>IFERROR(G47/F47,0)</x:f>
        <x:v>0.9333333333333333</x:v>
      </x:c>
      <x:c r="T47" s="89" t="n">
        <x:f>IFERROR((H47+2*I47+3*J47+4*K47+5*L47)/(5*M47),0)</x:f>
        <x:v>0.1259259259259259</x:v>
      </x:c>
      <x:c r="U47" t="n">
        <x:f>SUM(O47:Q47)</x:f>
        <x:v>2</x:v>
      </x:c>
      <x:c r="V47" s="89" t="n">
        <x:f>0.3*S47+0.3*R47+0.3*(1-T47)-0.1*N47</x:f>
        <x:v>0.8422222222222222</x:v>
      </x:c>
    </x:row>
    <x:row r="48">
      <x:c r="A48" t="n">
        <x:v>23</x:v>
      </x:c>
      <x:c r="B48" t="str">
        <x:v>Cotton T-Shirt</x:v>
      </x:c>
      <x:c r="C48" t="str">
        <x:v>B</x:v>
      </x:c>
      <x:c r="D48" t="str">
        <x:v>Publisher B (blinded)</x:v>
      </x:c>
      <x:c r="E48" t="n">
        <x:v>15</x:v>
      </x:c>
      <x:c r="F48" t="n">
        <x:v>15</x:v>
      </x:c>
      <x:c r="G48" t="n">
        <x:v>15</x:v>
      </x:c>
      <x:c r="H48" t="n">
        <x:v>14</x:v>
      </x:c>
      <x:c r="I48" t="n">
        <x:v>4</x:v>
      </x:c>
      <x:c r="J48" t="n">
        <x:v>0</x:v>
      </x:c>
      <x:c r="K48" t="n">
        <x:v>0</x:v>
      </x:c>
      <x:c r="L48" t="n">
        <x:v>0</x:v>
      </x:c>
      <x:c r="M48" t="n">
        <x:v>39</x:v>
      </x:c>
      <x:c r="N48" t="n">
        <x:v>0</x:v>
      </x:c>
      <x:c r="O48" t="n">
        <x:v>0</x:v>
      </x:c>
      <x:c r="P48" t="n">
        <x:v>1</x:v>
      </x:c>
      <x:c r="Q48" t="n">
        <x:v>0</x:v>
      </x:c>
      <x:c r="R48" s="89" t="n">
        <x:f>IFERROR(F48/E48,0)</x:f>
        <x:v>1</x:v>
      </x:c>
      <x:c r="S48" s="89" t="n">
        <x:f>IFERROR(G48/F48,0)</x:f>
        <x:v>1</x:v>
      </x:c>
      <x:c r="T48" s="89" t="n">
        <x:f>IFERROR((H48+2*I48+3*J48+4*K48+5*L48)/(5*M48),0)</x:f>
        <x:v>0.11282051282051282</x:v>
      </x:c>
      <x:c r="U48" t="n">
        <x:f>SUM(O48:Q48)</x:f>
        <x:v>1</x:v>
      </x:c>
      <x:c r="V48" s="89" t="n">
        <x:f>0.3*S48+0.3*R48+0.3*(1-T48)-0.1*N48</x:f>
        <x:v>0.866153846153846</x:v>
      </x:c>
    </x:row>
    <x:row r="49">
      <x:c r="A49" t="n">
        <x:v>24</x:v>
      </x:c>
      <x:c r="B49" t="str">
        <x:v>Espresso Machine</x:v>
      </x:c>
      <x:c r="C49" t="str">
        <x:v>A</x:v>
      </x:c>
      <x:c r="D49" t="str">
        <x:v>Publisher A (blinded)</x:v>
      </x:c>
      <x:c r="E49" t="n">
        <x:v>18</x:v>
      </x:c>
      <x:c r="F49" t="n">
        <x:v>18</x:v>
      </x:c>
      <x:c r="G49" t="n">
        <x:v>18</x:v>
      </x:c>
      <x:c r="H49" t="n">
        <x:v>22</x:v>
      </x:c>
      <x:c r="I49" t="n">
        <x:v>2</x:v>
      </x:c>
      <x:c r="J49" t="n">
        <x:v>0</x:v>
      </x:c>
      <x:c r="K49" t="n">
        <x:v>0</x:v>
      </x:c>
      <x:c r="L49" t="n">
        <x:v>0</x:v>
      </x:c>
      <x:c r="M49" t="n">
        <x:v>57</x:v>
      </x:c>
      <x:c r="N49" t="n">
        <x:v>0</x:v>
      </x:c>
      <x:c r="O49" t="n">
        <x:v>0</x:v>
      </x:c>
      <x:c r="P49" t="n">
        <x:v>1</x:v>
      </x:c>
      <x:c r="Q49" t="n">
        <x:v>0</x:v>
      </x:c>
      <x:c r="R49" s="89" t="n">
        <x:f>IFERROR(F49/E49,0)</x:f>
        <x:v>1</x:v>
      </x:c>
      <x:c r="S49" s="89" t="n">
        <x:f>IFERROR(G49/F49,0)</x:f>
        <x:v>1</x:v>
      </x:c>
      <x:c r="T49" s="89" t="n">
        <x:f>IFERROR((H49+2*I49+3*J49+4*K49+5*L49)/(5*M49),0)</x:f>
        <x:v>0.0912280701754386</x:v>
      </x:c>
      <x:c r="U49" t="n">
        <x:f>SUM(O49:Q49)</x:f>
        <x:v>1</x:v>
      </x:c>
      <x:c r="V49" s="89" t="n">
        <x:f>0.3*S49+0.3*R49+0.3*(1-T49)-0.1*N49</x:f>
        <x:v>0.8726315789473684</x:v>
      </x:c>
    </x:row>
    <x:row r="50">
      <x:c r="A50" t="n">
        <x:v>24</x:v>
      </x:c>
      <x:c r="B50" t="str">
        <x:v>Espresso Machine</x:v>
      </x:c>
      <x:c r="C50" t="str">
        <x:v>B</x:v>
      </x:c>
      <x:c r="D50" t="str">
        <x:v>Publisher B (blinded)</x:v>
      </x:c>
      <x:c r="E50" t="n">
        <x:v>18</x:v>
      </x:c>
      <x:c r="F50" t="n">
        <x:v>16</x:v>
      </x:c>
      <x:c r="G50" t="n">
        <x:v>16</x:v>
      </x:c>
      <x:c r="H50" t="n">
        <x:v>26</x:v>
      </x:c>
      <x:c r="I50" t="n">
        <x:v>3</x:v>
      </x:c>
      <x:c r="J50" t="n">
        <x:v>0</x:v>
      </x:c>
      <x:c r="K50" t="n">
        <x:v>0</x:v>
      </x:c>
      <x:c r="L50" t="n">
        <x:v>0</x:v>
      </x:c>
      <x:c r="M50" t="n">
        <x:v>53</x:v>
      </x:c>
      <x:c r="N50" t="n">
        <x:v>0</x:v>
      </x:c>
      <x:c r="O50" t="n">
        <x:v>0</x:v>
      </x:c>
      <x:c r="P50" t="n">
        <x:v>1</x:v>
      </x:c>
      <x:c r="Q50" t="n">
        <x:v>1</x:v>
      </x:c>
      <x:c r="R50" s="89" t="n">
        <x:f>IFERROR(F50/E50,0)</x:f>
        <x:v>0.8888888888888888</x:v>
      </x:c>
      <x:c r="S50" s="89" t="n">
        <x:f>IFERROR(G50/F50,0)</x:f>
        <x:v>1</x:v>
      </x:c>
      <x:c r="T50" s="89" t="n">
        <x:f>IFERROR((H50+2*I50+3*J50+4*K50+5*L50)/(5*M50),0)</x:f>
        <x:v>0.12075471698113208</x:v>
      </x:c>
      <x:c r="U50" t="n">
        <x:f>SUM(O50:Q50)</x:f>
        <x:v>2</x:v>
      </x:c>
      <x:c r="V50" s="89" t="n">
        <x:f>0.3*S50+0.3*R50+0.3*(1-T50)-0.1*N50</x:f>
        <x:v>0.830440251572327</x:v>
      </x:c>
    </x:row>
    <x:row r="51">
      <x:c r="A51" t="n">
        <x:v>25</x:v>
      </x:c>
      <x:c r="B51" t="str">
        <x:v>Yoga Mat</x:v>
      </x:c>
      <x:c r="C51" t="str">
        <x:v>A</x:v>
      </x:c>
      <x:c r="D51" t="str">
        <x:v>Publisher A (blinded)</x:v>
      </x:c>
      <x:c r="E51" t="n">
        <x:v>17</x:v>
      </x:c>
      <x:c r="F51" t="n">
        <x:v>15</x:v>
      </x:c>
      <x:c r="G51" t="n">
        <x:v>15</x:v>
      </x:c>
      <x:c r="H51" t="n">
        <x:v>9</x:v>
      </x:c>
      <x:c r="I51" t="n">
        <x:v>10</x:v>
      </x:c>
      <x:c r="J51" t="n">
        <x:v>0</x:v>
      </x:c>
      <x:c r="K51" t="n">
        <x:v>0</x:v>
      </x:c>
      <x:c r="L51" t="n">
        <x:v>0</x:v>
      </x:c>
      <x:c r="M51" t="n">
        <x:v>39</x:v>
      </x:c>
      <x:c r="N51" t="n">
        <x:v>0</x:v>
      </x:c>
      <x:c r="O51" t="n">
        <x:v>0</x:v>
      </x:c>
      <x:c r="P51" t="n">
        <x:v>1</x:v>
      </x:c>
      <x:c r="Q51" t="n">
        <x:v>1</x:v>
      </x:c>
      <x:c r="R51" s="89" t="n">
        <x:f>IFERROR(F51/E51,0)</x:f>
        <x:v>0.8823529411764706</x:v>
      </x:c>
      <x:c r="S51" s="89" t="n">
        <x:f>IFERROR(G51/F51,0)</x:f>
        <x:v>1</x:v>
      </x:c>
      <x:c r="T51" s="89" t="n">
        <x:f>IFERROR((H51+2*I51+3*J51+4*K51+5*L51)/(5*M51),0)</x:f>
        <x:v>0.14871794871794872</x:v>
      </x:c>
      <x:c r="U51" t="n">
        <x:f>SUM(O51:Q51)</x:f>
        <x:v>2</x:v>
      </x:c>
      <x:c r="V51" s="89" t="n">
        <x:f>0.3*S51+0.3*R51+0.3*(1-T51)-0.1*N51</x:f>
        <x:v>0.8200904977375565</x:v>
      </x:c>
    </x:row>
    <x:row r="52">
      <x:c r="A52" t="n">
        <x:v>25</x:v>
      </x:c>
      <x:c r="B52" t="str">
        <x:v>Yoga Mat</x:v>
      </x:c>
      <x:c r="C52" t="str">
        <x:v>B</x:v>
      </x:c>
      <x:c r="D52" t="str">
        <x:v>Publisher B (blinded)</x:v>
      </x:c>
      <x:c r="E52" t="n">
        <x:v>17</x:v>
      </x:c>
      <x:c r="F52" t="n">
        <x:v>14</x:v>
      </x:c>
      <x:c r="G52" t="n">
        <x:v>14</x:v>
      </x:c>
      <x:c r="H52" t="n">
        <x:v>18</x:v>
      </x:c>
      <x:c r="I52" t="n">
        <x:v>7</x:v>
      </x:c>
      <x:c r="J52" t="n">
        <x:v>0</x:v>
      </x:c>
      <x:c r="K52" t="n">
        <x:v>0</x:v>
      </x:c>
      <x:c r="L52" t="n">
        <x:v>0</x:v>
      </x:c>
      <x:c r="M52" t="n">
        <x:v>47</x:v>
      </x:c>
      <x:c r="N52" t="n">
        <x:v>0</x:v>
      </x:c>
      <x:c r="O52" t="n">
        <x:v>0</x:v>
      </x:c>
      <x:c r="P52" t="n">
        <x:v>1</x:v>
      </x:c>
      <x:c r="Q52" t="n">
        <x:v>1</x:v>
      </x:c>
      <x:c r="R52" s="89" t="n">
        <x:f>IFERROR(F52/E52,0)</x:f>
        <x:v>0.8235294117647058</x:v>
      </x:c>
      <x:c r="S52" s="89" t="n">
        <x:f>IFERROR(G52/F52,0)</x:f>
        <x:v>1</x:v>
      </x:c>
      <x:c r="T52" s="89" t="n">
        <x:f>IFERROR((H52+2*I52+3*J52+4*K52+5*L52)/(5*M52),0)</x:f>
        <x:v>0.13617021276595745</x:v>
      </x:c>
      <x:c r="U52" t="n">
        <x:f>SUM(O52:Q52)</x:f>
        <x:v>2</x:v>
      </x:c>
      <x:c r="V52" s="89" t="n">
        <x:f>0.3*S52+0.3*R52+0.3*(1-T52)-0.1*N52</x:f>
        <x:v>0.8062077596996244</x:v>
      </x:c>
    </x:row>
    <x:row r="53">
      <x:c r="A53" t="n">
        <x:v>26</x:v>
      </x:c>
      <x:c r="B53" t="str">
        <x:v>Protein Bar</x:v>
      </x:c>
      <x:c r="C53" t="str">
        <x:v>A</x:v>
      </x:c>
      <x:c r="D53" t="str">
        <x:v>Publisher A (blinded)</x:v>
      </x:c>
      <x:c r="E53" t="n">
        <x:v>16</x:v>
      </x:c>
      <x:c r="F53" t="n">
        <x:v>16</x:v>
      </x:c>
      <x:c r="G53" t="n">
        <x:v>16</x:v>
      </x:c>
      <x:c r="H53" t="n">
        <x:v>7</x:v>
      </x:c>
      <x:c r="I53" t="n">
        <x:v>6</x:v>
      </x:c>
      <x:c r="J53" t="n">
        <x:v>5</x:v>
      </x:c>
      <x:c r="K53" t="n">
        <x:v>0</x:v>
      </x:c>
      <x:c r="L53" t="n">
        <x:v>0</x:v>
      </x:c>
      <x:c r="M53" t="n">
        <x:v>42</x:v>
      </x:c>
      <x:c r="N53" t="n">
        <x:v>0</x:v>
      </x:c>
      <x:c r="O53" t="n">
        <x:v>0</x:v>
      </x:c>
      <x:c r="P53" t="n">
        <x:v>1</x:v>
      </x:c>
      <x:c r="Q53" t="n">
        <x:v>0</x:v>
      </x:c>
      <x:c r="R53" s="89" t="n">
        <x:f>IFERROR(F53/E53,0)</x:f>
        <x:v>1</x:v>
      </x:c>
      <x:c r="S53" s="89" t="n">
        <x:f>IFERROR(G53/F53,0)</x:f>
        <x:v>1</x:v>
      </x:c>
      <x:c r="T53" s="89" t="n">
        <x:f>IFERROR((H53+2*I53+3*J53+4*K53+5*L53)/(5*M53),0)</x:f>
        <x:v>0.1619047619047619</x:v>
      </x:c>
      <x:c r="U53" t="n">
        <x:f>SUM(O53:Q53)</x:f>
        <x:v>1</x:v>
      </x:c>
      <x:c r="V53" s="89" t="n">
        <x:f>0.3*S53+0.3*R53+0.3*(1-T53)-0.1*N53</x:f>
        <x:v>0.8514285714285714</x:v>
      </x:c>
    </x:row>
    <x:row r="54">
      <x:c r="A54" t="n">
        <x:v>26</x:v>
      </x:c>
      <x:c r="B54" t="str">
        <x:v>Protein Bar</x:v>
      </x:c>
      <x:c r="C54" t="str">
        <x:v>B</x:v>
      </x:c>
      <x:c r="D54" t="str">
        <x:v>Publisher B (blinded)</x:v>
      </x:c>
      <x:c r="E54" t="n">
        <x:v>16</x:v>
      </x:c>
      <x:c r="F54" t="n">
        <x:v>16</x:v>
      </x:c>
      <x:c r="G54" t="n">
        <x:v>16</x:v>
      </x:c>
      <x:c r="H54" t="n">
        <x:v>8</x:v>
      </x:c>
      <x:c r="I54" t="n">
        <x:v>10</x:v>
      </x:c>
      <x:c r="J54" t="n">
        <x:v>6</x:v>
      </x:c>
      <x:c r="K54" t="n">
        <x:v>0</x:v>
      </x:c>
      <x:c r="L54" t="n">
        <x:v>0</x:v>
      </x:c>
      <x:c r="M54" t="n">
        <x:v>46</x:v>
      </x:c>
      <x:c r="N54" t="n">
        <x:v>0</x:v>
      </x:c>
      <x:c r="O54" t="n">
        <x:v>0</x:v>
      </x:c>
      <x:c r="P54" t="n">
        <x:v>1</x:v>
      </x:c>
      <x:c r="Q54" t="n">
        <x:v>0</x:v>
      </x:c>
      <x:c r="R54" s="89" t="n">
        <x:f>IFERROR(F54/E54,0)</x:f>
        <x:v>1</x:v>
      </x:c>
      <x:c r="S54" s="89" t="n">
        <x:f>IFERROR(G54/F54,0)</x:f>
        <x:v>1</x:v>
      </x:c>
      <x:c r="T54" s="89" t="n">
        <x:f>IFERROR((H54+2*I54+3*J54+4*K54+5*L54)/(5*M54),0)</x:f>
        <x:v>0.2</x:v>
      </x:c>
      <x:c r="U54" t="n">
        <x:f>SUM(O54:Q54)</x:f>
        <x:v>1</x:v>
      </x:c>
      <x:c r="V54" s="89" t="n">
        <x:f>0.3*S54+0.3*R54+0.3*(1-T54)-0.1*N54</x:f>
        <x:v>0.84</x:v>
      </x:c>
    </x:row>
    <x:row r="55">
      <x:c r="A55" t="n">
        <x:v>27</x:v>
      </x:c>
      <x:c r="B55" t="str">
        <x:v>Robot Vacuum</x:v>
      </x:c>
      <x:c r="C55" t="str">
        <x:v>A</x:v>
      </x:c>
      <x:c r="D55" t="str">
        <x:v>Publisher A (blinded)</x:v>
      </x:c>
      <x:c r="E55" t="n">
        <x:v>16</x:v>
      </x:c>
      <x:c r="F55" t="n">
        <x:v>16</x:v>
      </x:c>
      <x:c r="G55" t="n">
        <x:v>16</x:v>
      </x:c>
      <x:c r="H55" t="n">
        <x:v>16</x:v>
      </x:c>
      <x:c r="I55" t="n">
        <x:v>4</x:v>
      </x:c>
      <x:c r="J55" t="n">
        <x:v>0</x:v>
      </x:c>
      <x:c r="K55" t="n">
        <x:v>0</x:v>
      </x:c>
      <x:c r="L55" t="n">
        <x:v>0</x:v>
      </x:c>
      <x:c r="M55" t="n">
        <x:v>48</x:v>
      </x:c>
      <x:c r="N55" t="n">
        <x:v>0</x:v>
      </x:c>
      <x:c r="O55" t="n">
        <x:v>0</x:v>
      </x:c>
      <x:c r="P55" t="n">
        <x:v>1</x:v>
      </x:c>
      <x:c r="Q55" t="n">
        <x:v>0</x:v>
      </x:c>
      <x:c r="R55" s="89" t="n">
        <x:f>IFERROR(F55/E55,0)</x:f>
        <x:v>1</x:v>
      </x:c>
      <x:c r="S55" s="89" t="n">
        <x:f>IFERROR(G55/F55,0)</x:f>
        <x:v>1</x:v>
      </x:c>
      <x:c r="T55" s="89" t="n">
        <x:f>IFERROR((H55+2*I55+3*J55+4*K55+5*L55)/(5*M55),0)</x:f>
        <x:v>0.1</x:v>
      </x:c>
      <x:c r="U55" t="n">
        <x:f>SUM(O55:Q55)</x:f>
        <x:v>1</x:v>
      </x:c>
      <x:c r="V55" s="89" t="n">
        <x:f>0.3*S55+0.3*R55+0.3*(1-T55)-0.1*N55</x:f>
        <x:v>0.87</x:v>
      </x:c>
    </x:row>
    <x:row r="56">
      <x:c r="A56" t="n">
        <x:v>27</x:v>
      </x:c>
      <x:c r="B56" t="str">
        <x:v>Robot Vacuum</x:v>
      </x:c>
      <x:c r="C56" t="str">
        <x:v>B</x:v>
      </x:c>
      <x:c r="D56" t="str">
        <x:v>Publisher B (blinded)</x:v>
      </x:c>
      <x:c r="E56" t="n">
        <x:v>16</x:v>
      </x:c>
      <x:c r="F56" t="n">
        <x:v>16</x:v>
      </x:c>
      <x:c r="G56" t="n">
        <x:v>16</x:v>
      </x:c>
      <x:c r="H56" t="n">
        <x:v>15</x:v>
      </x:c>
      <x:c r="I56" t="n">
        <x:v>9</x:v>
      </x:c>
      <x:c r="J56" t="n">
        <x:v>0</x:v>
      </x:c>
      <x:c r="K56" t="n">
        <x:v>0</x:v>
      </x:c>
      <x:c r="L56" t="n">
        <x:v>0</x:v>
      </x:c>
      <x:c r="M56" t="n">
        <x:v>52</x:v>
      </x:c>
      <x:c r="N56" t="n">
        <x:v>0</x:v>
      </x:c>
      <x:c r="O56" t="n">
        <x:v>0</x:v>
      </x:c>
      <x:c r="P56" t="n">
        <x:v>1</x:v>
      </x:c>
      <x:c r="Q56" t="n">
        <x:v>0</x:v>
      </x:c>
      <x:c r="R56" s="89" t="n">
        <x:f>IFERROR(F56/E56,0)</x:f>
        <x:v>1</x:v>
      </x:c>
      <x:c r="S56" s="89" t="n">
        <x:f>IFERROR(G56/F56,0)</x:f>
        <x:v>1</x:v>
      </x:c>
      <x:c r="T56" s="89" t="n">
        <x:f>IFERROR((H56+2*I56+3*J56+4*K56+5*L56)/(5*M56),0)</x:f>
        <x:v>0.12692307692307692</x:v>
      </x:c>
      <x:c r="U56" t="n">
        <x:f>SUM(O56:Q56)</x:f>
        <x:v>1</x:v>
      </x:c>
      <x:c r="V56" s="89" t="n">
        <x:f>0.3*S56+0.3*R56+0.3*(1-T56)-0.1*N56</x:f>
        <x:v>0.8619230769230769</x:v>
      </x:c>
    </x:row>
    <x:row r="57">
      <x:c r="A57" t="n">
        <x:v>28</x:v>
      </x:c>
      <x:c r="B57" t="str">
        <x:v>Electric Kettle</x:v>
      </x:c>
      <x:c r="C57" t="str">
        <x:v>A</x:v>
      </x:c>
      <x:c r="D57" t="str">
        <x:v>Publisher A (blinded)</x:v>
      </x:c>
      <x:c r="E57" t="n">
        <x:v>17</x:v>
      </x:c>
      <x:c r="F57" t="n">
        <x:v>15</x:v>
      </x:c>
      <x:c r="G57" t="n">
        <x:v>15</x:v>
      </x:c>
      <x:c r="H57" t="n">
        <x:v>14</x:v>
      </x:c>
      <x:c r="I57" t="n">
        <x:v>12</x:v>
      </x:c>
      <x:c r="J57" t="n">
        <x:v>0</x:v>
      </x:c>
      <x:c r="K57" t="n">
        <x:v>0</x:v>
      </x:c>
      <x:c r="L57" t="n">
        <x:v>0</x:v>
      </x:c>
      <x:c r="M57" t="n">
        <x:v>53</x:v>
      </x:c>
      <x:c r="N57" t="n">
        <x:v>0</x:v>
      </x:c>
      <x:c r="O57" t="n">
        <x:v>0</x:v>
      </x:c>
      <x:c r="P57" t="n">
        <x:v>1</x:v>
      </x:c>
      <x:c r="Q57" t="n">
        <x:v>1</x:v>
      </x:c>
      <x:c r="R57" s="89" t="n">
        <x:f>IFERROR(F57/E57,0)</x:f>
        <x:v>0.8823529411764706</x:v>
      </x:c>
      <x:c r="S57" s="89" t="n">
        <x:f>IFERROR(G57/F57,0)</x:f>
        <x:v>1</x:v>
      </x:c>
      <x:c r="T57" s="89" t="n">
        <x:f>IFERROR((H57+2*I57+3*J57+4*K57+5*L57)/(5*M57),0)</x:f>
        <x:v>0.14339622641509434</x:v>
      </x:c>
      <x:c r="U57" t="n">
        <x:f>SUM(O57:Q57)</x:f>
        <x:v>2</x:v>
      </x:c>
      <x:c r="V57" s="89" t="n">
        <x:f>0.3*S57+0.3*R57+0.3*(1-T57)-0.1*N57</x:f>
        <x:v>0.8216870144284129</x:v>
      </x:c>
    </x:row>
    <x:row r="58">
      <x:c r="A58" t="n">
        <x:v>28</x:v>
      </x:c>
      <x:c r="B58" t="str">
        <x:v>Electric Kettle</x:v>
      </x:c>
      <x:c r="C58" t="str">
        <x:v>B</x:v>
      </x:c>
      <x:c r="D58" t="str">
        <x:v>Publisher B (blinded)</x:v>
      </x:c>
      <x:c r="E58" t="n">
        <x:v>17</x:v>
      </x:c>
      <x:c r="F58" t="n">
        <x:v>16</x:v>
      </x:c>
      <x:c r="G58" t="n">
        <x:v>16</x:v>
      </x:c>
      <x:c r="H58" t="n">
        <x:v>20</x:v>
      </x:c>
      <x:c r="I58" t="n">
        <x:v>12</x:v>
      </x:c>
      <x:c r="J58" t="n">
        <x:v>0</x:v>
      </x:c>
      <x:c r="K58" t="n">
        <x:v>0</x:v>
      </x:c>
      <x:c r="L58" t="n">
        <x:v>0</x:v>
      </x:c>
      <x:c r="M58" t="n">
        <x:v>54</x:v>
      </x:c>
      <x:c r="N58" t="n">
        <x:v>0</x:v>
      </x:c>
      <x:c r="O58" t="n">
        <x:v>0</x:v>
      </x:c>
      <x:c r="P58" t="n">
        <x:v>1</x:v>
      </x:c>
      <x:c r="Q58" t="n">
        <x:v>1</x:v>
      </x:c>
      <x:c r="R58" s="89" t="n">
        <x:f>IFERROR(F58/E58,0)</x:f>
        <x:v>0.9411764705882353</x:v>
      </x:c>
      <x:c r="S58" s="89" t="n">
        <x:f>IFERROR(G58/F58,0)</x:f>
        <x:v>1</x:v>
      </x:c>
      <x:c r="T58" s="89" t="n">
        <x:f>IFERROR((H58+2*I58+3*J58+4*K58+5*L58)/(5*M58),0)</x:f>
        <x:v>0.16296296296296298</x:v>
      </x:c>
      <x:c r="U58" t="n">
        <x:f>SUM(O58:Q58)</x:f>
        <x:v>2</x:v>
      </x:c>
      <x:c r="V58" s="89" t="n">
        <x:f>0.3*S58+0.3*R58+0.3*(1-T58)-0.1*N58</x:f>
        <x:v>0.8334640522875816</x:v>
      </x:c>
    </x:row>
    <x:row r="59">
      <x:c r="A59" t="n">
        <x:v>29</x:v>
      </x:c>
      <x:c r="B59" t="str">
        <x:v>Baby Stroller</x:v>
      </x:c>
      <x:c r="C59" t="str">
        <x:v>A</x:v>
      </x:c>
      <x:c r="D59" t="str">
        <x:v>Publisher A (blinded)</x:v>
      </x:c>
      <x:c r="E59" t="n">
        <x:v>16</x:v>
      </x:c>
      <x:c r="F59" t="n">
        <x:v>16</x:v>
      </x:c>
      <x:c r="G59" t="n">
        <x:v>16</x:v>
      </x:c>
      <x:c r="H59" t="n">
        <x:v>10</x:v>
      </x:c>
      <x:c r="I59" t="n">
        <x:v>4</x:v>
      </x:c>
      <x:c r="J59" t="n">
        <x:v>7</x:v>
      </x:c>
      <x:c r="K59" t="n">
        <x:v>0</x:v>
      </x:c>
      <x:c r="L59" t="n">
        <x:v>0</x:v>
      </x:c>
      <x:c r="M59" t="n">
        <x:v>45</x:v>
      </x:c>
      <x:c r="N59" t="n">
        <x:v>0</x:v>
      </x:c>
      <x:c r="O59" t="n">
        <x:v>0</x:v>
      </x:c>
      <x:c r="P59" t="n">
        <x:v>1</x:v>
      </x:c>
      <x:c r="Q59" t="n">
        <x:v>0</x:v>
      </x:c>
      <x:c r="R59" s="89" t="n">
        <x:f>IFERROR(F59/E59,0)</x:f>
        <x:v>1</x:v>
      </x:c>
      <x:c r="S59" s="89" t="n">
        <x:f>IFERROR(G59/F59,0)</x:f>
        <x:v>1</x:v>
      </x:c>
      <x:c r="T59" s="89" t="n">
        <x:f>IFERROR((H59+2*I59+3*J59+4*K59+5*L59)/(5*M59),0)</x:f>
        <x:v>0.17333333333333334</x:v>
      </x:c>
      <x:c r="U59" t="n">
        <x:f>SUM(O59:Q59)</x:f>
        <x:v>1</x:v>
      </x:c>
      <x:c r="V59" s="89" t="n">
        <x:f>0.3*S59+0.3*R59+0.3*(1-T59)-0.1*N59</x:f>
        <x:v>0.848</x:v>
      </x:c>
    </x:row>
    <x:row r="60">
      <x:c r="A60" t="n">
        <x:v>29</x:v>
      </x:c>
      <x:c r="B60" t="str">
        <x:v>Baby Stroller</x:v>
      </x:c>
      <x:c r="C60" t="str">
        <x:v>B</x:v>
      </x:c>
      <x:c r="D60" t="str">
        <x:v>Publisher B (blinded)</x:v>
      </x:c>
      <x:c r="E60" t="n">
        <x:v>16</x:v>
      </x:c>
      <x:c r="F60" t="n">
        <x:v>16</x:v>
      </x:c>
      <x:c r="G60" t="n">
        <x:v>16</x:v>
      </x:c>
      <x:c r="H60" t="n">
        <x:v>22</x:v>
      </x:c>
      <x:c r="I60" t="n">
        <x:v>12</x:v>
      </x:c>
      <x:c r="J60" t="n">
        <x:v>6</x:v>
      </x:c>
      <x:c r="K60" t="n">
        <x:v>0</x:v>
      </x:c>
      <x:c r="L60" t="n">
        <x:v>0</x:v>
      </x:c>
      <x:c r="M60" t="n">
        <x:v>87</x:v>
      </x:c>
      <x:c r="N60" t="n">
        <x:v>0</x:v>
      </x:c>
      <x:c r="O60" t="n">
        <x:v>0</x:v>
      </x:c>
      <x:c r="P60" t="n">
        <x:v>1</x:v>
      </x:c>
      <x:c r="Q60" t="n">
        <x:v>0</x:v>
      </x:c>
      <x:c r="R60" s="89" t="n">
        <x:f>IFERROR(F60/E60,0)</x:f>
        <x:v>1</x:v>
      </x:c>
      <x:c r="S60" s="89" t="n">
        <x:f>IFERROR(G60/F60,0)</x:f>
        <x:v>1</x:v>
      </x:c>
      <x:c r="T60" s="89" t="n">
        <x:f>IFERROR((H60+2*I60+3*J60+4*K60+5*L60)/(5*M60),0)</x:f>
        <x:v>0.1471264367816092</x:v>
      </x:c>
      <x:c r="U60" t="n">
        <x:f>SUM(O60:Q60)</x:f>
        <x:v>1</x:v>
      </x:c>
      <x:c r="V60" s="89" t="n">
        <x:f>0.3*S60+0.3*R60+0.3*(1-T60)-0.1*N60</x:f>
        <x:v>0.8558620689655172</x:v>
      </x:c>
    </x:row>
    <x:row r="61">
      <x:c r="A61" t="n">
        <x:v>30</x:v>
      </x:c>
      <x:c r="B61" t="str">
        <x:v>Trail Running Watch</x:v>
      </x:c>
      <x:c r="C61" t="str">
        <x:v>A</x:v>
      </x:c>
      <x:c r="D61" t="str">
        <x:v>Publisher A (blinded)</x:v>
      </x:c>
      <x:c r="E61" t="n">
        <x:v>16</x:v>
      </x:c>
      <x:c r="F61" t="n">
        <x:v>15</x:v>
      </x:c>
      <x:c r="G61" t="n">
        <x:v>15</x:v>
      </x:c>
      <x:c r="H61" t="n">
        <x:v>15</x:v>
      </x:c>
      <x:c r="I61" t="n">
        <x:v>15</x:v>
      </x:c>
      <x:c r="J61" t="n">
        <x:v>0</x:v>
      </x:c>
      <x:c r="K61" t="n">
        <x:v>0</x:v>
      </x:c>
      <x:c r="L61" t="n">
        <x:v>0</x:v>
      </x:c>
      <x:c r="M61" t="n">
        <x:v>59</x:v>
      </x:c>
      <x:c r="N61" t="n">
        <x:v>0</x:v>
      </x:c>
      <x:c r="O61" t="n">
        <x:v>0</x:v>
      </x:c>
      <x:c r="P61" t="n">
        <x:v>1</x:v>
      </x:c>
      <x:c r="Q61" t="n">
        <x:v>1</x:v>
      </x:c>
      <x:c r="R61" s="89" t="n">
        <x:f>IFERROR(F61/E61,0)</x:f>
        <x:v>0.9375</x:v>
      </x:c>
      <x:c r="S61" s="89" t="n">
        <x:f>IFERROR(G61/F61,0)</x:f>
        <x:v>1</x:v>
      </x:c>
      <x:c r="T61" s="89" t="n">
        <x:f>IFERROR((H61+2*I61+3*J61+4*K61+5*L61)/(5*M61),0)</x:f>
        <x:v>0.15254237288135594</x:v>
      </x:c>
      <x:c r="U61" t="n">
        <x:f>SUM(O61:Q61)</x:f>
        <x:v>2</x:v>
      </x:c>
      <x:c r="V61" s="89" t="n">
        <x:f>0.3*S61+0.3*R61+0.3*(1-T61)-0.1*N61</x:f>
        <x:v>0.8354872881355933</x:v>
      </x:c>
    </x:row>
    <x:row r="62">
      <x:c r="A62" t="n">
        <x:v>30</x:v>
      </x:c>
      <x:c r="B62" t="str">
        <x:v>Trail Running Watch</x:v>
      </x:c>
      <x:c r="C62" t="str">
        <x:v>B</x:v>
      </x:c>
      <x:c r="D62" t="str">
        <x:v>Publisher B (blinded)</x:v>
      </x:c>
      <x:c r="E62" t="n">
        <x:v>16</x:v>
      </x:c>
      <x:c r="F62" t="n">
        <x:v>14</x:v>
      </x:c>
      <x:c r="G62" t="n">
        <x:v>14</x:v>
      </x:c>
      <x:c r="H62" t="n">
        <x:v>15</x:v>
      </x:c>
      <x:c r="I62" t="n">
        <x:v>3</x:v>
      </x:c>
      <x:c r="J62" t="n">
        <x:v>1</x:v>
      </x:c>
      <x:c r="K62" t="n">
        <x:v>0</x:v>
      </x:c>
      <x:c r="L62" t="n">
        <x:v>0</x:v>
      </x:c>
      <x:c r="M62" t="n">
        <x:v>40</x:v>
      </x:c>
      <x:c r="N62" t="n">
        <x:v>0</x:v>
      </x:c>
      <x:c r="O62" t="n">
        <x:v>0</x:v>
      </x:c>
      <x:c r="P62" t="n">
        <x:v>1</x:v>
      </x:c>
      <x:c r="Q62" t="n">
        <x:v>1</x:v>
      </x:c>
      <x:c r="R62" s="89" t="n">
        <x:f>IFERROR(F62/E62,0)</x:f>
        <x:v>0.875</x:v>
      </x:c>
      <x:c r="S62" s="89" t="n">
        <x:f>IFERROR(G62/F62,0)</x:f>
        <x:v>1</x:v>
      </x:c>
      <x:c r="T62" s="89" t="n">
        <x:f>IFERROR((H62+2*I62+3*J62+4*K62+5*L62)/(5*M62),0)</x:f>
        <x:v>0.12</x:v>
      </x:c>
      <x:c r="U62" t="n">
        <x:f>SUM(O62:Q62)</x:f>
        <x:v>2</x:v>
      </x:c>
      <x:c r="V62" s="89" t="n">
        <x:f>0.3*S62+0.3*R62+0.3*(1-T62)-0.1*N62</x:f>
        <x:v>0.8265</x:v>
      </x:c>
    </x:row>
    <x:row r="63">
      <x:c r="A63" t="n">
        <x:v>31</x:v>
      </x:c>
      <x:c r="B63" t="str">
        <x:v>Dishwashing Detergent</x:v>
      </x:c>
      <x:c r="C63" t="str">
        <x:v>A</x:v>
      </x:c>
      <x:c r="D63" t="str">
        <x:v>Publisher A (blinded)</x:v>
      </x:c>
      <x:c r="E63" t="n">
        <x:v>17</x:v>
      </x:c>
      <x:c r="F63" t="n">
        <x:v>17</x:v>
      </x:c>
      <x:c r="G63" t="n">
        <x:v>16</x:v>
      </x:c>
      <x:c r="H63" t="n">
        <x:v>11</x:v>
      </x:c>
      <x:c r="I63" t="n">
        <x:v>6</x:v>
      </x:c>
      <x:c r="J63" t="n">
        <x:v>4</x:v>
      </x:c>
      <x:c r="K63" t="n">
        <x:v>0</x:v>
      </x:c>
      <x:c r="L63" t="n">
        <x:v>0</x:v>
      </x:c>
      <x:c r="M63" t="n">
        <x:v>52</x:v>
      </x:c>
      <x:c r="N63" t="n">
        <x:v>0</x:v>
      </x:c>
      <x:c r="O63" t="n">
        <x:v>0</x:v>
      </x:c>
      <x:c r="P63" t="n">
        <x:v>1</x:v>
      </x:c>
      <x:c r="Q63" t="n">
        <x:v>1</x:v>
      </x:c>
      <x:c r="R63" s="89" t="n">
        <x:f>IFERROR(F63/E63,0)</x:f>
        <x:v>1</x:v>
      </x:c>
      <x:c r="S63" s="89" t="n">
        <x:f>IFERROR(G63/F63,0)</x:f>
        <x:v>0.9411764705882353</x:v>
      </x:c>
      <x:c r="T63" s="89" t="n">
        <x:f>IFERROR((H63+2*I63+3*J63+4*K63+5*L63)/(5*M63),0)</x:f>
        <x:v>0.1346153846153846</x:v>
      </x:c>
      <x:c r="U63" t="n">
        <x:f>SUM(O63:Q63)</x:f>
        <x:v>2</x:v>
      </x:c>
      <x:c r="V63" s="89" t="n">
        <x:f>0.3*S63+0.3*R63+0.3*(1-T63)-0.1*N63</x:f>
        <x:v>0.8419683257918551</x:v>
      </x:c>
    </x:row>
    <x:row r="64">
      <x:c r="A64" t="n">
        <x:v>31</x:v>
      </x:c>
      <x:c r="B64" t="str">
        <x:v>Dishwashing Detergent</x:v>
      </x:c>
      <x:c r="C64" t="str">
        <x:v>B</x:v>
      </x:c>
      <x:c r="D64" t="str">
        <x:v>Publisher B (blinded)</x:v>
      </x:c>
      <x:c r="E64" t="n">
        <x:v>17</x:v>
      </x:c>
      <x:c r="F64" t="n">
        <x:v>17</x:v>
      </x:c>
      <x:c r="G64" t="n">
        <x:v>17</x:v>
      </x:c>
      <x:c r="H64" t="n">
        <x:v>14</x:v>
      </x:c>
      <x:c r="I64" t="n">
        <x:v>5</x:v>
      </x:c>
      <x:c r="J64" t="n">
        <x:v>2</x:v>
      </x:c>
      <x:c r="K64" t="n">
        <x:v>0</x:v>
      </x:c>
      <x:c r="L64" t="n">
        <x:v>0</x:v>
      </x:c>
      <x:c r="M64" t="n">
        <x:v>47</x:v>
      </x:c>
      <x:c r="N64" t="n">
        <x:v>0</x:v>
      </x:c>
      <x:c r="O64" t="n">
        <x:v>0</x:v>
      </x:c>
      <x:c r="P64" t="n">
        <x:v>1</x:v>
      </x:c>
      <x:c r="Q64" t="n">
        <x:v>0</x:v>
      </x:c>
      <x:c r="R64" s="89" t="n">
        <x:f>IFERROR(F64/E64,0)</x:f>
        <x:v>1</x:v>
      </x:c>
      <x:c r="S64" s="89" t="n">
        <x:f>IFERROR(G64/F64,0)</x:f>
        <x:v>1</x:v>
      </x:c>
      <x:c r="T64" s="89" t="n">
        <x:f>IFERROR((H64+2*I64+3*J64+4*K64+5*L64)/(5*M64),0)</x:f>
        <x:v>0.1276595744680851</x:v>
      </x:c>
      <x:c r="U64" t="n">
        <x:f>SUM(O64:Q64)</x:f>
        <x:v>1</x:v>
      </x:c>
      <x:c r="V64" s="89" t="n">
        <x:f>0.3*S64+0.3*R64+0.3*(1-T64)-0.1*N64</x:f>
        <x:v>0.8617021276595744</x:v>
      </x:c>
    </x:row>
    <x:row r="65">
      <x:c r="A65" t="n">
        <x:v>32</x:v>
      </x:c>
      <x:c r="B65" t="str">
        <x:v>Hiking Water Bottle</x:v>
      </x:c>
      <x:c r="C65" t="str">
        <x:v>A</x:v>
      </x:c>
      <x:c r="D65" t="str">
        <x:v>Publisher A (blinded)</x:v>
      </x:c>
      <x:c r="E65" t="n">
        <x:v>17</x:v>
      </x:c>
      <x:c r="F65" t="n">
        <x:v>17</x:v>
      </x:c>
      <x:c r="G65" t="n">
        <x:v>17</x:v>
      </x:c>
      <x:c r="H65" t="n">
        <x:v>13</x:v>
      </x:c>
      <x:c r="I65" t="n">
        <x:v>8</x:v>
      </x:c>
      <x:c r="J65" t="n">
        <x:v>0</x:v>
      </x:c>
      <x:c r="K65" t="n">
        <x:v>0</x:v>
      </x:c>
      <x:c r="L65" t="n">
        <x:v>0</x:v>
      </x:c>
      <x:c r="M65" t="n">
        <x:v>50</x:v>
      </x:c>
      <x:c r="N65" t="n">
        <x:v>0</x:v>
      </x:c>
      <x:c r="O65" t="n">
        <x:v>0</x:v>
      </x:c>
      <x:c r="P65" t="n">
        <x:v>1</x:v>
      </x:c>
      <x:c r="Q65" t="n">
        <x:v>0</x:v>
      </x:c>
      <x:c r="R65" s="89" t="n">
        <x:f>IFERROR(F65/E65,0)</x:f>
        <x:v>1</x:v>
      </x:c>
      <x:c r="S65" s="89" t="n">
        <x:f>IFERROR(G65/F65,0)</x:f>
        <x:v>1</x:v>
      </x:c>
      <x:c r="T65" s="89" t="n">
        <x:f>IFERROR((H65+2*I65+3*J65+4*K65+5*L65)/(5*M65),0)</x:f>
        <x:v>0.116</x:v>
      </x:c>
      <x:c r="U65" t="n">
        <x:f>SUM(O65:Q65)</x:f>
        <x:v>1</x:v>
      </x:c>
      <x:c r="V65" s="89" t="n">
        <x:f>0.3*S65+0.3*R65+0.3*(1-T65)-0.1*N65</x:f>
        <x:v>0.8652</x:v>
      </x:c>
    </x:row>
    <x:row r="66">
      <x:c r="A66" t="n">
        <x:v>32</x:v>
      </x:c>
      <x:c r="B66" t="str">
        <x:v>Hiking Water Bottle</x:v>
      </x:c>
      <x:c r="C66" t="str">
        <x:v>B</x:v>
      </x:c>
      <x:c r="D66" t="str">
        <x:v>Publisher B (blinded)</x:v>
      </x:c>
      <x:c r="E66" t="n">
        <x:v>17</x:v>
      </x:c>
      <x:c r="F66" t="n">
        <x:v>17</x:v>
      </x:c>
      <x:c r="G66" t="n">
        <x:v>17</x:v>
      </x:c>
      <x:c r="H66" t="n">
        <x:v>19</x:v>
      </x:c>
      <x:c r="I66" t="n">
        <x:v>10</x:v>
      </x:c>
      <x:c r="J66" t="n">
        <x:v>0</x:v>
      </x:c>
      <x:c r="K66" t="n">
        <x:v>0</x:v>
      </x:c>
      <x:c r="L66" t="n">
        <x:v>0</x:v>
      </x:c>
      <x:c r="M66" t="n">
        <x:v>59</x:v>
      </x:c>
      <x:c r="N66" t="n">
        <x:v>0</x:v>
      </x:c>
      <x:c r="O66" t="n">
        <x:v>0</x:v>
      </x:c>
      <x:c r="P66" t="n">
        <x:v>1</x:v>
      </x:c>
      <x:c r="Q66" t="n">
        <x:v>0</x:v>
      </x:c>
      <x:c r="R66" s="89" t="n">
        <x:f>IFERROR(F66/E66,0)</x:f>
        <x:v>1</x:v>
      </x:c>
      <x:c r="S66" s="89" t="n">
        <x:f>IFERROR(G66/F66,0)</x:f>
        <x:v>1</x:v>
      </x:c>
      <x:c r="T66" s="89" t="n">
        <x:f>IFERROR((H66+2*I66+3*J66+4*K66+5*L66)/(5*M66),0)</x:f>
        <x:v>0.13220338983050847</x:v>
      </x:c>
      <x:c r="U66" t="n">
        <x:f>SUM(O66:Q66)</x:f>
        <x:v>1</x:v>
      </x:c>
      <x:c r="V66" s="89" t="n">
        <x:f>0.3*S66+0.3*R66+0.3*(1-T66)-0.1*N66</x:f>
        <x:v>0.8603389830508474</x:v>
      </x:c>
    </x:row>
    <x:row r="67">
      <x:c r="A67" t="n">
        <x:v>33</x:v>
      </x:c>
      <x:c r="B67" t="str">
        <x:v>Laundry Detergent</x:v>
      </x:c>
      <x:c r="C67" t="str">
        <x:v>A</x:v>
      </x:c>
      <x:c r="D67" t="str">
        <x:v>Publisher A (blinded)</x:v>
      </x:c>
      <x:c r="E67" t="n">
        <x:v>16</x:v>
      </x:c>
      <x:c r="F67" t="n">
        <x:v>16</x:v>
      </x:c>
      <x:c r="G67" t="n">
        <x:v>16</x:v>
      </x:c>
      <x:c r="H67" t="n">
        <x:v>7</x:v>
      </x:c>
      <x:c r="I67" t="n">
        <x:v>10</x:v>
      </x:c>
      <x:c r="J67" t="n">
        <x:v>4</x:v>
      </x:c>
      <x:c r="K67" t="n">
        <x:v>0</x:v>
      </x:c>
      <x:c r="L67" t="n">
        <x:v>0</x:v>
      </x:c>
      <x:c r="M67" t="n">
        <x:v>44</x:v>
      </x:c>
      <x:c r="N67" t="n">
        <x:v>0</x:v>
      </x:c>
      <x:c r="O67" t="n">
        <x:v>0</x:v>
      </x:c>
      <x:c r="P67" t="n">
        <x:v>1</x:v>
      </x:c>
      <x:c r="Q67" t="n">
        <x:v>0</x:v>
      </x:c>
      <x:c r="R67" s="89" t="n">
        <x:f>IFERROR(F67/E67,0)</x:f>
        <x:v>1</x:v>
      </x:c>
      <x:c r="S67" s="89" t="n">
        <x:f>IFERROR(G67/F67,0)</x:f>
        <x:v>1</x:v>
      </x:c>
      <x:c r="T67" s="89" t="n">
        <x:f>IFERROR((H67+2*I67+3*J67+4*K67+5*L67)/(5*M67),0)</x:f>
        <x:v>0.17727272727272728</x:v>
      </x:c>
      <x:c r="U67" t="n">
        <x:f>SUM(O67:Q67)</x:f>
        <x:v>1</x:v>
      </x:c>
      <x:c r="V67" s="89" t="n">
        <x:f>0.3*S67+0.3*R67+0.3*(1-T67)-0.1*N67</x:f>
        <x:v>0.8468181818181818</x:v>
      </x:c>
    </x:row>
    <x:row r="68">
      <x:c r="A68" t="n">
        <x:v>33</x:v>
      </x:c>
      <x:c r="B68" t="str">
        <x:v>Laundry Detergent</x:v>
      </x:c>
      <x:c r="C68" t="str">
        <x:v>B</x:v>
      </x:c>
      <x:c r="D68" t="str">
        <x:v>Publisher B (blinded)</x:v>
      </x:c>
      <x:c r="E68" t="n">
        <x:v>16</x:v>
      </x:c>
      <x:c r="F68" t="n">
        <x:v>15</x:v>
      </x:c>
      <x:c r="G68" t="n">
        <x:v>15</x:v>
      </x:c>
      <x:c r="H68" t="n">
        <x:v>10</x:v>
      </x:c>
      <x:c r="I68" t="n">
        <x:v>5</x:v>
      </x:c>
      <x:c r="J68" t="n">
        <x:v>5</x:v>
      </x:c>
      <x:c r="K68" t="n">
        <x:v>0</x:v>
      </x:c>
      <x:c r="L68" t="n">
        <x:v>0</x:v>
      </x:c>
      <x:c r="M68" t="n">
        <x:v>44</x:v>
      </x:c>
      <x:c r="N68" t="n">
        <x:v>0</x:v>
      </x:c>
      <x:c r="O68" t="n">
        <x:v>0</x:v>
      </x:c>
      <x:c r="P68" t="n">
        <x:v>1</x:v>
      </x:c>
      <x:c r="Q68" t="n">
        <x:v>1</x:v>
      </x:c>
      <x:c r="R68" s="89" t="n">
        <x:f>IFERROR(F68/E68,0)</x:f>
        <x:v>0.9375</x:v>
      </x:c>
      <x:c r="S68" s="89" t="n">
        <x:f>IFERROR(G68/F68,0)</x:f>
        <x:v>1</x:v>
      </x:c>
      <x:c r="T68" s="89" t="n">
        <x:f>IFERROR((H68+2*I68+3*J68+4*K68+5*L68)/(5*M68),0)</x:f>
        <x:v>0.1590909090909091</x:v>
      </x:c>
      <x:c r="U68" t="n">
        <x:f>SUM(O68:Q68)</x:f>
        <x:v>2</x:v>
      </x:c>
      <x:c r="V68" s="89" t="n">
        <x:f>0.3*S68+0.3*R68+0.3*(1-T68)-0.1*N68</x:f>
        <x:v>0.8335227272727272</x:v>
      </x:c>
    </x:row>
    <x:row r="69">
      <x:c r="A69" t="n">
        <x:v>34</x:v>
      </x:c>
      <x:c r="B69" t="str">
        <x:v>Noise-Cancelling Headphones</x:v>
      </x:c>
      <x:c r="C69" t="str">
        <x:v>A</x:v>
      </x:c>
      <x:c r="D69" t="str">
        <x:v>Publisher A (blinded)</x:v>
      </x:c>
      <x:c r="E69" t="n">
        <x:v>17</x:v>
      </x:c>
      <x:c r="F69" t="n">
        <x:v>17</x:v>
      </x:c>
      <x:c r="G69" t="n">
        <x:v>16</x:v>
      </x:c>
      <x:c r="H69" t="n">
        <x:v>18</x:v>
      </x:c>
      <x:c r="I69" t="n">
        <x:v>16</x:v>
      </x:c>
      <x:c r="J69" t="n">
        <x:v>0</x:v>
      </x:c>
      <x:c r="K69" t="n">
        <x:v>0</x:v>
      </x:c>
      <x:c r="L69" t="n">
        <x:v>0</x:v>
      </x:c>
      <x:c r="M69" t="n">
        <x:v>78</x:v>
      </x:c>
      <x:c r="N69" t="n">
        <x:v>0</x:v>
      </x:c>
      <x:c r="O69" t="n">
        <x:v>0</x:v>
      </x:c>
      <x:c r="P69" t="n">
        <x:v>1</x:v>
      </x:c>
      <x:c r="Q69" t="n">
        <x:v>1</x:v>
      </x:c>
      <x:c r="R69" s="89" t="n">
        <x:f>IFERROR(F69/E69,0)</x:f>
        <x:v>1</x:v>
      </x:c>
      <x:c r="S69" s="89" t="n">
        <x:f>IFERROR(G69/F69,0)</x:f>
        <x:v>0.9411764705882353</x:v>
      </x:c>
      <x:c r="T69" s="89" t="n">
        <x:f>IFERROR((H69+2*I69+3*J69+4*K69+5*L69)/(5*M69),0)</x:f>
        <x:v>0.1282051282051282</x:v>
      </x:c>
      <x:c r="U69" t="n">
        <x:f>SUM(O69:Q69)</x:f>
        <x:v>2</x:v>
      </x:c>
      <x:c r="V69" s="89" t="n">
        <x:f>0.3*S69+0.3*R69+0.3*(1-T69)-0.1*N69</x:f>
        <x:v>0.843891402714932</x:v>
      </x:c>
    </x:row>
    <x:row r="70">
      <x:c r="A70" t="n">
        <x:v>34</x:v>
      </x:c>
      <x:c r="B70" t="str">
        <x:v>Noise-Cancelling Headphones</x:v>
      </x:c>
      <x:c r="C70" t="str">
        <x:v>B</x:v>
      </x:c>
      <x:c r="D70" t="str">
        <x:v>Publisher B (blinded)</x:v>
      </x:c>
      <x:c r="E70" t="n">
        <x:v>17</x:v>
      </x:c>
      <x:c r="F70" t="n">
        <x:v>16</x:v>
      </x:c>
      <x:c r="G70" t="n">
        <x:v>16</x:v>
      </x:c>
      <x:c r="H70" t="n">
        <x:v>17</x:v>
      </x:c>
      <x:c r="I70" t="n">
        <x:v>4</x:v>
      </x:c>
      <x:c r="J70" t="n">
        <x:v>0</x:v>
      </x:c>
      <x:c r="K70" t="n">
        <x:v>0</x:v>
      </x:c>
      <x:c r="L70" t="n">
        <x:v>0</x:v>
      </x:c>
      <x:c r="M70" t="n">
        <x:v>45</x:v>
      </x:c>
      <x:c r="N70" t="n">
        <x:v>0</x:v>
      </x:c>
      <x:c r="O70" t="n">
        <x:v>0</x:v>
      </x:c>
      <x:c r="P70" t="n">
        <x:v>1</x:v>
      </x:c>
      <x:c r="Q70" t="n">
        <x:v>1</x:v>
      </x:c>
      <x:c r="R70" s="89" t="n">
        <x:f>IFERROR(F70/E70,0)</x:f>
        <x:v>0.9411764705882353</x:v>
      </x:c>
      <x:c r="S70" s="89" t="n">
        <x:f>IFERROR(G70/F70,0)</x:f>
        <x:v>1</x:v>
      </x:c>
      <x:c r="T70" s="89" t="n">
        <x:f>IFERROR((H70+2*I70+3*J70+4*K70+5*L70)/(5*M70),0)</x:f>
        <x:v>0.1111111111111111</x:v>
      </x:c>
      <x:c r="U70" t="n">
        <x:f>SUM(O70:Q70)</x:f>
        <x:v>2</x:v>
      </x:c>
      <x:c r="V70" s="89" t="n">
        <x:f>0.3*S70+0.3*R70+0.3*(1-T70)-0.1*N70</x:f>
        <x:v>0.8490196078431371</x:v>
      </x:c>
    </x:row>
    <x:row r="71">
      <x:c r="A71" t="n">
        <x:v>35</x:v>
      </x:c>
      <x:c r="B71" t="str">
        <x:v>Air Purifier</x:v>
      </x:c>
      <x:c r="C71" t="str">
        <x:v>A</x:v>
      </x:c>
      <x:c r="D71" t="str">
        <x:v>Publisher A (blinded)</x:v>
      </x:c>
      <x:c r="E71" t="n">
        <x:v>18</x:v>
      </x:c>
      <x:c r="F71" t="n">
        <x:v>18</x:v>
      </x:c>
      <x:c r="G71" t="n">
        <x:v>18</x:v>
      </x:c>
      <x:c r="H71" t="n">
        <x:v>8</x:v>
      </x:c>
      <x:c r="I71" t="n">
        <x:v>11</x:v>
      </x:c>
      <x:c r="J71" t="n">
        <x:v>3</x:v>
      </x:c>
      <x:c r="K71" t="n">
        <x:v>0</x:v>
      </x:c>
      <x:c r="L71" t="n">
        <x:v>0</x:v>
      </x:c>
      <x:c r="M71" t="n">
        <x:v>55</x:v>
      </x:c>
      <x:c r="N71" t="n">
        <x:v>0</x:v>
      </x:c>
      <x:c r="O71" t="n">
        <x:v>0</x:v>
      </x:c>
      <x:c r="P71" t="n">
        <x:v>1</x:v>
      </x:c>
      <x:c r="Q71" t="n">
        <x:v>0</x:v>
      </x:c>
      <x:c r="R71" s="89" t="n">
        <x:f>IFERROR(F71/E71,0)</x:f>
        <x:v>1</x:v>
      </x:c>
      <x:c r="S71" s="89" t="n">
        <x:f>IFERROR(G71/F71,0)</x:f>
        <x:v>1</x:v>
      </x:c>
      <x:c r="T71" s="89" t="n">
        <x:f>IFERROR((H71+2*I71+3*J71+4*K71+5*L71)/(5*M71),0)</x:f>
        <x:v>0.14181818181818182</x:v>
      </x:c>
      <x:c r="U71" t="n">
        <x:f>SUM(O71:Q71)</x:f>
        <x:v>1</x:v>
      </x:c>
      <x:c r="V71" s="89" t="n">
        <x:f>0.3*S71+0.3*R71+0.3*(1-T71)-0.1*N71</x:f>
        <x:v>0.8574545454545455</x:v>
      </x:c>
    </x:row>
    <x:row r="72">
      <x:c r="A72" t="n">
        <x:v>35</x:v>
      </x:c>
      <x:c r="B72" t="str">
        <x:v>Air Purifier</x:v>
      </x:c>
      <x:c r="C72" t="str">
        <x:v>B</x:v>
      </x:c>
      <x:c r="D72" t="str">
        <x:v>Publisher B (blinded)</x:v>
      </x:c>
      <x:c r="E72" t="n">
        <x:v>18</x:v>
      </x:c>
      <x:c r="F72" t="n">
        <x:v>18</x:v>
      </x:c>
      <x:c r="G72" t="n">
        <x:v>18</x:v>
      </x:c>
      <x:c r="H72" t="n">
        <x:v>9</x:v>
      </x:c>
      <x:c r="I72" t="n">
        <x:v>11</x:v>
      </x:c>
      <x:c r="J72" t="n">
        <x:v>0</x:v>
      </x:c>
      <x:c r="K72" t="n">
        <x:v>0</x:v>
      </x:c>
      <x:c r="L72" t="n">
        <x:v>0</x:v>
      </x:c>
      <x:c r="M72" t="n">
        <x:v>47</x:v>
      </x:c>
      <x:c r="N72" t="n">
        <x:v>0</x:v>
      </x:c>
      <x:c r="O72" t="n">
        <x:v>0</x:v>
      </x:c>
      <x:c r="P72" t="n">
        <x:v>1</x:v>
      </x:c>
      <x:c r="Q72" t="n">
        <x:v>0</x:v>
      </x:c>
      <x:c r="R72" s="89" t="n">
        <x:f>IFERROR(F72/E72,0)</x:f>
        <x:v>1</x:v>
      </x:c>
      <x:c r="S72" s="89" t="n">
        <x:f>IFERROR(G72/F72,0)</x:f>
        <x:v>1</x:v>
      </x:c>
      <x:c r="T72" s="89" t="n">
        <x:f>IFERROR((H72+2*I72+3*J72+4*K72+5*L72)/(5*M72),0)</x:f>
        <x:v>0.13191489361702127</x:v>
      </x:c>
      <x:c r="U72" t="n">
        <x:f>SUM(O72:Q72)</x:f>
        <x:v>1</x:v>
      </x:c>
      <x:c r="V72" s="89" t="n">
        <x:f>0.3*S72+0.3*R72+0.3*(1-T72)-0.1*N72</x:f>
        <x:v>0.8604255319148936</x:v>
      </x:c>
    </x:row>
    <x:row r="73">
      <x:c r="A73" t="n">
        <x:v>36</x:v>
      </x:c>
      <x:c r="B73" t="str">
        <x:v>Running Shorts</x:v>
      </x:c>
      <x:c r="C73" t="str">
        <x:v>A</x:v>
      </x:c>
      <x:c r="D73" t="str">
        <x:v>Publisher A (blinded)</x:v>
      </x:c>
      <x:c r="E73" t="n">
        <x:v>16</x:v>
      </x:c>
      <x:c r="F73" t="n">
        <x:v>16</x:v>
      </x:c>
      <x:c r="G73" t="n">
        <x:v>16</x:v>
      </x:c>
      <x:c r="H73" t="n">
        <x:v>19</x:v>
      </x:c>
      <x:c r="I73" t="n">
        <x:v>4</x:v>
      </x:c>
      <x:c r="J73" t="n">
        <x:v>0</x:v>
      </x:c>
      <x:c r="K73" t="n">
        <x:v>0</x:v>
      </x:c>
      <x:c r="L73" t="n">
        <x:v>0</x:v>
      </x:c>
      <x:c r="M73" t="n">
        <x:v>49</x:v>
      </x:c>
      <x:c r="N73" t="n">
        <x:v>0</x:v>
      </x:c>
      <x:c r="O73" t="n">
        <x:v>0</x:v>
      </x:c>
      <x:c r="P73" t="n">
        <x:v>1</x:v>
      </x:c>
      <x:c r="Q73" t="n">
        <x:v>0</x:v>
      </x:c>
      <x:c r="R73" s="89" t="n">
        <x:f>IFERROR(F73/E73,0)</x:f>
        <x:v>1</x:v>
      </x:c>
      <x:c r="S73" s="89" t="n">
        <x:f>IFERROR(G73/F73,0)</x:f>
        <x:v>1</x:v>
      </x:c>
      <x:c r="T73" s="89" t="n">
        <x:f>IFERROR((H73+2*I73+3*J73+4*K73+5*L73)/(5*M73),0)</x:f>
        <x:v>0.11020408163265306</x:v>
      </x:c>
      <x:c r="U73" t="n">
        <x:f>SUM(O73:Q73)</x:f>
        <x:v>1</x:v>
      </x:c>
      <x:c r="V73" s="89" t="n">
        <x:f>0.3*S73+0.3*R73+0.3*(1-T73)-0.1*N73</x:f>
        <x:v>0.866938775510204</x:v>
      </x:c>
    </x:row>
    <x:row r="74">
      <x:c r="A74" t="n">
        <x:v>36</x:v>
      </x:c>
      <x:c r="B74" t="str">
        <x:v>Running Shorts</x:v>
      </x:c>
      <x:c r="C74" t="str">
        <x:v>B</x:v>
      </x:c>
      <x:c r="D74" t="str">
        <x:v>Publisher B (blinded)</x:v>
      </x:c>
      <x:c r="E74" t="n">
        <x:v>16</x:v>
      </x:c>
      <x:c r="F74" t="n">
        <x:v>16</x:v>
      </x:c>
      <x:c r="G74" t="n">
        <x:v>16</x:v>
      </x:c>
      <x:c r="H74" t="n">
        <x:v>25</x:v>
      </x:c>
      <x:c r="I74" t="n">
        <x:v>4</x:v>
      </x:c>
      <x:c r="J74" t="n">
        <x:v>0</x:v>
      </x:c>
      <x:c r="K74" t="n">
        <x:v>0</x:v>
      </x:c>
      <x:c r="L74" t="n">
        <x:v>0</x:v>
      </x:c>
      <x:c r="M74" t="n">
        <x:v>52</x:v>
      </x:c>
      <x:c r="N74" t="n">
        <x:v>0</x:v>
      </x:c>
      <x:c r="O74" t="n">
        <x:v>0</x:v>
      </x:c>
      <x:c r="P74" t="n">
        <x:v>1</x:v>
      </x:c>
      <x:c r="Q74" t="n">
        <x:v>0</x:v>
      </x:c>
      <x:c r="R74" s="89" t="n">
        <x:f>IFERROR(F74/E74,0)</x:f>
        <x:v>1</x:v>
      </x:c>
      <x:c r="S74" s="89" t="n">
        <x:f>IFERROR(G74/F74,0)</x:f>
        <x:v>1</x:v>
      </x:c>
      <x:c r="T74" s="89" t="n">
        <x:f>IFERROR((H74+2*I74+3*J74+4*K74+5*L74)/(5*M74),0)</x:f>
        <x:v>0.12692307692307692</x:v>
      </x:c>
      <x:c r="U74" t="n">
        <x:f>SUM(O74:Q74)</x:f>
        <x:v>1</x:v>
      </x:c>
      <x:c r="V74" s="89" t="n">
        <x:f>0.3*S74+0.3*R74+0.3*(1-T74)-0.1*N74</x:f>
        <x:v>0.8619230769230769</x:v>
      </x:c>
    </x:row>
    <x:row r="75">
      <x:c r="A75" t="n">
        <x:v>37</x:v>
      </x:c>
      <x:c r="B75" t="str">
        <x:v>Baby Bottle</x:v>
      </x:c>
      <x:c r="C75" t="str">
        <x:v>A</x:v>
      </x:c>
      <x:c r="D75" t="str">
        <x:v>Publisher A (blinded)</x:v>
      </x:c>
      <x:c r="E75" t="n">
        <x:v>16</x:v>
      </x:c>
      <x:c r="F75" t="n">
        <x:v>16</x:v>
      </x:c>
      <x:c r="G75" t="n">
        <x:v>15</x:v>
      </x:c>
      <x:c r="H75" t="n">
        <x:v>7</x:v>
      </x:c>
      <x:c r="I75" t="n">
        <x:v>7</x:v>
      </x:c>
      <x:c r="J75" t="n">
        <x:v>9</x:v>
      </x:c>
      <x:c r="K75" t="n">
        <x:v>1</x:v>
      </x:c>
      <x:c r="L75" t="n">
        <x:v>0</x:v>
      </x:c>
      <x:c r="M75" t="n">
        <x:v>48</x:v>
      </x:c>
      <x:c r="N75" t="n">
        <x:v>0</x:v>
      </x:c>
      <x:c r="O75" t="n">
        <x:v>0</x:v>
      </x:c>
      <x:c r="P75" t="n">
        <x:v>1</x:v>
      </x:c>
      <x:c r="Q75" t="n">
        <x:v>1</x:v>
      </x:c>
      <x:c r="R75" s="89" t="n">
        <x:f>IFERROR(F75/E75,0)</x:f>
        <x:v>1</x:v>
      </x:c>
      <x:c r="S75" s="89" t="n">
        <x:f>IFERROR(G75/F75,0)</x:f>
        <x:v>0.9375</x:v>
      </x:c>
      <x:c r="T75" s="89" t="n">
        <x:f>IFERROR((H75+2*I75+3*J75+4*K75+5*L75)/(5*M75),0)</x:f>
        <x:v>0.21666666666666667</x:v>
      </x:c>
      <x:c r="U75" t="n">
        <x:f>SUM(O75:Q75)</x:f>
        <x:v>2</x:v>
      </x:c>
      <x:c r="V75" s="89" t="n">
        <x:f>0.3*S75+0.3*R75+0.3*(1-T75)-0.1*N75</x:f>
        <x:v>0.81625</x:v>
      </x:c>
    </x:row>
    <x:row r="76">
      <x:c r="A76" t="n">
        <x:v>37</x:v>
      </x:c>
      <x:c r="B76" t="str">
        <x:v>Baby Bottle</x:v>
      </x:c>
      <x:c r="C76" t="str">
        <x:v>B</x:v>
      </x:c>
      <x:c r="D76" t="str">
        <x:v>Publisher B (blinded)</x:v>
      </x:c>
      <x:c r="E76" t="n">
        <x:v>16</x:v>
      </x:c>
      <x:c r="F76" t="n">
        <x:v>16</x:v>
      </x:c>
      <x:c r="G76" t="n">
        <x:v>15</x:v>
      </x:c>
      <x:c r="H76" t="n">
        <x:v>15</x:v>
      </x:c>
      <x:c r="I76" t="n">
        <x:v>6</x:v>
      </x:c>
      <x:c r="J76" t="n">
        <x:v>3</x:v>
      </x:c>
      <x:c r="K76" t="n">
        <x:v>1</x:v>
      </x:c>
      <x:c r="L76" t="n">
        <x:v>0</x:v>
      </x:c>
      <x:c r="M76" t="n">
        <x:v>52</x:v>
      </x:c>
      <x:c r="N76" t="n">
        <x:v>0</x:v>
      </x:c>
      <x:c r="O76" t="n">
        <x:v>0</x:v>
      </x:c>
      <x:c r="P76" t="n">
        <x:v>1</x:v>
      </x:c>
      <x:c r="Q76" t="n">
        <x:v>1</x:v>
      </x:c>
      <x:c r="R76" s="89" t="n">
        <x:f>IFERROR(F76/E76,0)</x:f>
        <x:v>1</x:v>
      </x:c>
      <x:c r="S76" s="89" t="n">
        <x:f>IFERROR(G76/F76,0)</x:f>
        <x:v>0.9375</x:v>
      </x:c>
      <x:c r="T76" s="89" t="n">
        <x:f>IFERROR((H76+2*I76+3*J76+4*K76+5*L76)/(5*M76),0)</x:f>
        <x:v>0.15384615384615385</x:v>
      </x:c>
      <x:c r="U76" t="n">
        <x:f>SUM(O76:Q76)</x:f>
        <x:v>2</x:v>
      </x:c>
      <x:c r="V76" s="89" t="n">
        <x:f>0.3*S76+0.3*R76+0.3*(1-T76)-0.1*N76</x:f>
        <x:v>0.8350961538461539</x:v>
      </x:c>
    </x:row>
    <x:row r="77">
      <x:c r="A77" t="n">
        <x:v>38</x:v>
      </x:c>
      <x:c r="B77" t="str">
        <x:v>Indoor Plant Pot</x:v>
      </x:c>
      <x:c r="C77" t="str">
        <x:v>A</x:v>
      </x:c>
      <x:c r="D77" t="str">
        <x:v>Publisher A (blinded)</x:v>
      </x:c>
      <x:c r="E77" t="n">
        <x:v>16</x:v>
      </x:c>
      <x:c r="F77" t="n">
        <x:v>16</x:v>
      </x:c>
      <x:c r="G77" t="n">
        <x:v>16</x:v>
      </x:c>
      <x:c r="H77" t="n">
        <x:v>11</x:v>
      </x:c>
      <x:c r="I77" t="n">
        <x:v>14</x:v>
      </x:c>
      <x:c r="J77" t="n">
        <x:v>0</x:v>
      </x:c>
      <x:c r="K77" t="n">
        <x:v>0</x:v>
      </x:c>
      <x:c r="L77" t="n">
        <x:v>0</x:v>
      </x:c>
      <x:c r="M77" t="n">
        <x:v>49</x:v>
      </x:c>
      <x:c r="N77" t="n">
        <x:v>0</x:v>
      </x:c>
      <x:c r="O77" t="n">
        <x:v>0</x:v>
      </x:c>
      <x:c r="P77" t="n">
        <x:v>1</x:v>
      </x:c>
      <x:c r="Q77" t="n">
        <x:v>0</x:v>
      </x:c>
      <x:c r="R77" s="89" t="n">
        <x:f>IFERROR(F77/E77,0)</x:f>
        <x:v>1</x:v>
      </x:c>
      <x:c r="S77" s="89" t="n">
        <x:f>IFERROR(G77/F77,0)</x:f>
        <x:v>1</x:v>
      </x:c>
      <x:c r="T77" s="89" t="n">
        <x:f>IFERROR((H77+2*I77+3*J77+4*K77+5*L77)/(5*M77),0)</x:f>
        <x:v>0.15918367346938775</x:v>
      </x:c>
      <x:c r="U77" t="n">
        <x:f>SUM(O77:Q77)</x:f>
        <x:v>1</x:v>
      </x:c>
      <x:c r="V77" s="89" t="n">
        <x:f>0.3*S77+0.3*R77+0.3*(1-T77)-0.1*N77</x:f>
        <x:v>0.8522448979591837</x:v>
      </x:c>
    </x:row>
    <x:row r="78">
      <x:c r="A78" t="n">
        <x:v>38</x:v>
      </x:c>
      <x:c r="B78" t="str">
        <x:v>Indoor Plant Pot</x:v>
      </x:c>
      <x:c r="C78" t="str">
        <x:v>B</x:v>
      </x:c>
      <x:c r="D78" t="str">
        <x:v>Publisher B (blinded)</x:v>
      </x:c>
      <x:c r="E78" t="n">
        <x:v>16</x:v>
      </x:c>
      <x:c r="F78" t="n">
        <x:v>16</x:v>
      </x:c>
      <x:c r="G78" t="n">
        <x:v>16</x:v>
      </x:c>
      <x:c r="H78" t="n">
        <x:v>9</x:v>
      </x:c>
      <x:c r="I78" t="n">
        <x:v>7</x:v>
      </x:c>
      <x:c r="J78" t="n">
        <x:v>0</x:v>
      </x:c>
      <x:c r="K78" t="n">
        <x:v>0</x:v>
      </x:c>
      <x:c r="L78" t="n">
        <x:v>0</x:v>
      </x:c>
      <x:c r="M78" t="n">
        <x:v>51</x:v>
      </x:c>
      <x:c r="N78" t="n">
        <x:v>0</x:v>
      </x:c>
      <x:c r="O78" t="n">
        <x:v>0</x:v>
      </x:c>
      <x:c r="P78" t="n">
        <x:v>1</x:v>
      </x:c>
      <x:c r="Q78" t="n">
        <x:v>0</x:v>
      </x:c>
      <x:c r="R78" s="89" t="n">
        <x:f>IFERROR(F78/E78,0)</x:f>
        <x:v>1</x:v>
      </x:c>
      <x:c r="S78" s="89" t="n">
        <x:f>IFERROR(G78/F78,0)</x:f>
        <x:v>1</x:v>
      </x:c>
      <x:c r="T78" s="89" t="n">
        <x:f>IFERROR((H78+2*I78+3*J78+4*K78+5*L78)/(5*M78),0)</x:f>
        <x:v>0.09019607843137255</x:v>
      </x:c>
      <x:c r="U78" t="n">
        <x:f>SUM(O78:Q78)</x:f>
        <x:v>1</x:v>
      </x:c>
      <x:c r="V78" s="89" t="n">
        <x:f>0.3*S78+0.3*R78+0.3*(1-T78)-0.1*N78</x:f>
        <x:v>0.8729411764705882</x:v>
      </x:c>
    </x:row>
    <x:row r="79">
      <x:c r="A79" t="n">
        <x:v>39</x:v>
      </x:c>
      <x:c r="B79" t="str">
        <x:v>Camping Stove</x:v>
      </x:c>
      <x:c r="C79" t="str">
        <x:v>A</x:v>
      </x:c>
      <x:c r="D79" t="str">
        <x:v>Publisher A (blinded)</x:v>
      </x:c>
      <x:c r="E79" t="n">
        <x:v>15</x:v>
      </x:c>
      <x:c r="F79" t="n">
        <x:v>14</x:v>
      </x:c>
      <x:c r="G79" t="n">
        <x:v>13</x:v>
      </x:c>
      <x:c r="H79" t="n">
        <x:v>27</x:v>
      </x:c>
      <x:c r="I79" t="n">
        <x:v>8</x:v>
      </x:c>
      <x:c r="J79" t="n">
        <x:v>2</x:v>
      </x:c>
      <x:c r="K79" t="n">
        <x:v>2</x:v>
      </x:c>
      <x:c r="L79" t="n">
        <x:v>0</x:v>
      </x:c>
      <x:c r="M79" t="n">
        <x:v>67</x:v>
      </x:c>
      <x:c r="N79" t="n">
        <x:v>0</x:v>
      </x:c>
      <x:c r="O79" t="n">
        <x:v>0</x:v>
      </x:c>
      <x:c r="P79" t="n">
        <x:v>1</x:v>
      </x:c>
      <x:c r="Q79" t="n">
        <x:v>1</x:v>
      </x:c>
      <x:c r="R79" s="89" t="n">
        <x:f>IFERROR(F79/E79,0)</x:f>
        <x:v>0.9333333333333333</x:v>
      </x:c>
      <x:c r="S79" s="89" t="n">
        <x:f>IFERROR(G79/F79,0)</x:f>
        <x:v>0.9285714285714286</x:v>
      </x:c>
      <x:c r="T79" s="89" t="n">
        <x:f>IFERROR((H79+2*I79+3*J79+4*K79+5*L79)/(5*M79),0)</x:f>
        <x:v>0.1701492537313433</x:v>
      </x:c>
      <x:c r="U79" t="n">
        <x:f>SUM(O79:Q79)</x:f>
        <x:v>2</x:v>
      </x:c>
      <x:c r="V79" s="89" t="n">
        <x:f>0.3*S79+0.3*R79+0.3*(1-T79)-0.1*N79</x:f>
        <x:v>0.8075266524520255</x:v>
      </x:c>
    </x:row>
    <x:row r="80">
      <x:c r="A80" t="n">
        <x:v>39</x:v>
      </x:c>
      <x:c r="B80" t="str">
        <x:v>Camping Stove</x:v>
      </x:c>
      <x:c r="C80" t="str">
        <x:v>B</x:v>
      </x:c>
      <x:c r="D80" t="str">
        <x:v>Publisher B (blinded)</x:v>
      </x:c>
      <x:c r="E80" t="n">
        <x:v>15</x:v>
      </x:c>
      <x:c r="F80" t="n">
        <x:v>15</x:v>
      </x:c>
      <x:c r="G80" t="n">
        <x:v>15</x:v>
      </x:c>
      <x:c r="H80" t="n">
        <x:v>12</x:v>
      </x:c>
      <x:c r="I80" t="n">
        <x:v>5</x:v>
      </x:c>
      <x:c r="J80" t="n">
        <x:v>2</x:v>
      </x:c>
      <x:c r="K80" t="n">
        <x:v>3</x:v>
      </x:c>
      <x:c r="L80" t="n">
        <x:v>0</x:v>
      </x:c>
      <x:c r="M80" t="n">
        <x:v>44</x:v>
      </x:c>
      <x:c r="N80" t="n">
        <x:v>0</x:v>
      </x:c>
      <x:c r="O80" t="n">
        <x:v>0</x:v>
      </x:c>
      <x:c r="P80" t="n">
        <x:v>1</x:v>
      </x:c>
      <x:c r="Q80" t="n">
        <x:v>0</x:v>
      </x:c>
      <x:c r="R80" s="89" t="n">
        <x:f>IFERROR(F80/E80,0)</x:f>
        <x:v>1</x:v>
      </x:c>
      <x:c r="S80" s="89" t="n">
        <x:f>IFERROR(G80/F80,0)</x:f>
        <x:v>1</x:v>
      </x:c>
      <x:c r="T80" s="89" t="n">
        <x:f>IFERROR((H80+2*I80+3*J80+4*K80+5*L80)/(5*M80),0)</x:f>
        <x:v>0.18181818181818182</x:v>
      </x:c>
      <x:c r="U80" t="n">
        <x:f>SUM(O80:Q80)</x:f>
        <x:v>1</x:v>
      </x:c>
      <x:c r="V80" s="89" t="n">
        <x:f>0.3*S80+0.3*R80+0.3*(1-T80)-0.1*N80</x:f>
        <x:v>0.8454545454545455</x:v>
      </x:c>
    </x:row>
    <x:row r="81">
      <x:c r="A81" t="n">
        <x:v>40</x:v>
      </x:c>
      <x:c r="B81" t="str">
        <x:v>Specialty Tea</x:v>
      </x:c>
      <x:c r="C81" t="str">
        <x:v>A</x:v>
      </x:c>
      <x:c r="D81" t="str">
        <x:v>Publisher A (blinded)</x:v>
      </x:c>
      <x:c r="E81" t="n">
        <x:v>18</x:v>
      </x:c>
      <x:c r="F81" t="n">
        <x:v>18</x:v>
      </x:c>
      <x:c r="G81" t="n">
        <x:v>18</x:v>
      </x:c>
      <x:c r="H81" t="n">
        <x:v>11</x:v>
      </x:c>
      <x:c r="I81" t="n">
        <x:v>5</x:v>
      </x:c>
      <x:c r="J81" t="n">
        <x:v>0</x:v>
      </x:c>
      <x:c r="K81" t="n">
        <x:v>0</x:v>
      </x:c>
      <x:c r="L81" t="n">
        <x:v>0</x:v>
      </x:c>
      <x:c r="M81" t="n">
        <x:v>54</x:v>
      </x:c>
      <x:c r="N81" t="n">
        <x:v>0</x:v>
      </x:c>
      <x:c r="O81" t="n">
        <x:v>0</x:v>
      </x:c>
      <x:c r="P81" t="n">
        <x:v>1</x:v>
      </x:c>
      <x:c r="Q81" t="n">
        <x:v>0</x:v>
      </x:c>
      <x:c r="R81" s="89" t="n">
        <x:f>IFERROR(F81/E81,0)</x:f>
        <x:v>1</x:v>
      </x:c>
      <x:c r="S81" s="89" t="n">
        <x:f>IFERROR(G81/F81,0)</x:f>
        <x:v>1</x:v>
      </x:c>
      <x:c r="T81" s="89" t="n">
        <x:f>IFERROR((H81+2*I81+3*J81+4*K81+5*L81)/(5*M81),0)</x:f>
        <x:v>0.07777777777777778</x:v>
      </x:c>
      <x:c r="U81" t="n">
        <x:f>SUM(O81:Q81)</x:f>
        <x:v>1</x:v>
      </x:c>
      <x:c r="V81" s="89" t="n">
        <x:f>0.3*S81+0.3*R81+0.3*(1-T81)-0.1*N81</x:f>
        <x:v>0.8766666666666667</x:v>
      </x:c>
    </x:row>
    <x:row r="82">
      <x:c r="A82" t="n">
        <x:v>40</x:v>
      </x:c>
      <x:c r="B82" t="str">
        <x:v>Specialty Tea</x:v>
      </x:c>
      <x:c r="C82" t="str">
        <x:v>B</x:v>
      </x:c>
      <x:c r="D82" t="str">
        <x:v>Publisher B (blinded)</x:v>
      </x:c>
      <x:c r="E82" t="n">
        <x:v>18</x:v>
      </x:c>
      <x:c r="F82" t="n">
        <x:v>18</x:v>
      </x:c>
      <x:c r="G82" t="n">
        <x:v>18</x:v>
      </x:c>
      <x:c r="H82" t="n">
        <x:v>24</x:v>
      </x:c>
      <x:c r="I82" t="n">
        <x:v>3</x:v>
      </x:c>
      <x:c r="J82" t="n">
        <x:v>0</x:v>
      </x:c>
      <x:c r="K82" t="n">
        <x:v>0</x:v>
      </x:c>
      <x:c r="L82" t="n">
        <x:v>0</x:v>
      </x:c>
      <x:c r="M82" t="n">
        <x:v>81</x:v>
      </x:c>
      <x:c r="N82" t="n">
        <x:v>0</x:v>
      </x:c>
      <x:c r="O82" t="n">
        <x:v>0</x:v>
      </x:c>
      <x:c r="P82" t="n">
        <x:v>1</x:v>
      </x:c>
      <x:c r="Q82" t="n">
        <x:v>0</x:v>
      </x:c>
      <x:c r="R82" s="89" t="n">
        <x:f>IFERROR(F82/E82,0)</x:f>
        <x:v>1</x:v>
      </x:c>
      <x:c r="S82" s="89" t="n">
        <x:f>IFERROR(G82/F82,0)</x:f>
        <x:v>1</x:v>
      </x:c>
      <x:c r="T82" s="89" t="n">
        <x:f>IFERROR((H82+2*I82+3*J82+4*K82+5*L82)/(5*M82),0)</x:f>
        <x:v>0.07407407407407407</x:v>
      </x:c>
      <x:c r="U82" t="n">
        <x:f>SUM(O82:Q82)</x:f>
        <x:v>1</x:v>
      </x:c>
      <x:c r="V82" s="89" t="n">
        <x:f>0.3*S82+0.3*R82+0.3*(1-T82)-0.1*N82</x:f>
        <x:v>0.8777777777777778</x:v>
      </x:c>
    </x:row>
    <x:row r="83">
      <x:c r="A83" t="n">
        <x:v>41</x:v>
      </x:c>
      <x:c r="B83" t="str">
        <x:v>Smartphone</x:v>
      </x:c>
      <x:c r="C83" t="str">
        <x:v>A</x:v>
      </x:c>
      <x:c r="D83" t="str">
        <x:v>Publisher A (blinded)</x:v>
      </x:c>
      <x:c r="E83" t="n">
        <x:v>16</x:v>
      </x:c>
      <x:c r="F83" t="n">
        <x:v>14</x:v>
      </x:c>
      <x:c r="G83" t="n">
        <x:v>14</x:v>
      </x:c>
      <x:c r="H83" t="n">
        <x:v>14</x:v>
      </x:c>
      <x:c r="I83" t="n">
        <x:v>7</x:v>
      </x:c>
      <x:c r="J83" t="n">
        <x:v>6</x:v>
      </x:c>
      <x:c r="K83" t="n">
        <x:v>5</x:v>
      </x:c>
      <x:c r="L83" t="n">
        <x:v>0</x:v>
      </x:c>
      <x:c r="M83" t="n">
        <x:v>61</x:v>
      </x:c>
      <x:c r="N83" t="n">
        <x:v>0</x:v>
      </x:c>
      <x:c r="O83" t="n">
        <x:v>0</x:v>
      </x:c>
      <x:c r="P83" t="n">
        <x:v>1</x:v>
      </x:c>
      <x:c r="Q83" t="n">
        <x:v>1</x:v>
      </x:c>
      <x:c r="R83" s="89" t="n">
        <x:f>IFERROR(F83/E83,0)</x:f>
        <x:v>0.875</x:v>
      </x:c>
      <x:c r="S83" s="89" t="n">
        <x:f>IFERROR(G83/F83,0)</x:f>
        <x:v>1</x:v>
      </x:c>
      <x:c r="T83" s="89" t="n">
        <x:f>IFERROR((H83+2*I83+3*J83+4*K83+5*L83)/(5*M83),0)</x:f>
        <x:v>0.21639344262295082</x:v>
      </x:c>
      <x:c r="U83" t="n">
        <x:f>SUM(O83:Q83)</x:f>
        <x:v>2</x:v>
      </x:c>
      <x:c r="V83" s="89" t="n">
        <x:f>0.3*S83+0.3*R83+0.3*(1-T83)-0.1*N83</x:f>
        <x:v>0.7975819672131148</x:v>
      </x:c>
    </x:row>
    <x:row r="84">
      <x:c r="A84" t="n">
        <x:v>41</x:v>
      </x:c>
      <x:c r="B84" t="str">
        <x:v>Smartphone</x:v>
      </x:c>
      <x:c r="C84" t="str">
        <x:v>B</x:v>
      </x:c>
      <x:c r="D84" t="str">
        <x:v>Publisher B (blinded)</x:v>
      </x:c>
      <x:c r="E84" t="n">
        <x:v>16</x:v>
      </x:c>
      <x:c r="F84" t="n">
        <x:v>14</x:v>
      </x:c>
      <x:c r="G84" t="n">
        <x:v>13</x:v>
      </x:c>
      <x:c r="H84" t="n">
        <x:v>14</x:v>
      </x:c>
      <x:c r="I84" t="n">
        <x:v>7</x:v>
      </x:c>
      <x:c r="J84" t="n">
        <x:v>4</x:v>
      </x:c>
      <x:c r="K84" t="n">
        <x:v>5</x:v>
      </x:c>
      <x:c r="L84" t="n">
        <x:v>0</x:v>
      </x:c>
      <x:c r="M84" t="n">
        <x:v>58</x:v>
      </x:c>
      <x:c r="N84" t="n">
        <x:v>1</x:v>
      </x:c>
      <x:c r="O84" t="n">
        <x:v>0</x:v>
      </x:c>
      <x:c r="P84" t="n">
        <x:v>1</x:v>
      </x:c>
      <x:c r="Q84" t="n">
        <x:v>1</x:v>
      </x:c>
      <x:c r="R84" s="89" t="n">
        <x:f>IFERROR(F84/E84,0)</x:f>
        <x:v>0.875</x:v>
      </x:c>
      <x:c r="S84" s="89" t="n">
        <x:f>IFERROR(G84/F84,0)</x:f>
        <x:v>0.9285714285714286</x:v>
      </x:c>
      <x:c r="T84" s="89" t="n">
        <x:f>IFERROR((H84+2*I84+3*J84+4*K84+5*L84)/(5*M84),0)</x:f>
        <x:v>0.20689655172413793</x:v>
      </x:c>
      <x:c r="U84" t="n">
        <x:f>SUM(O84:Q84)</x:f>
        <x:v>2</x:v>
      </x:c>
      <x:c r="V84" s="89" t="n">
        <x:f>0.3*S84+0.3*R84+0.3*(1-T84)-0.1*N84</x:f>
        <x:v>0.6790024630541873</x:v>
      </x:c>
    </x:row>
    <x:row r="85">
      <x:c r="A85" t="n">
        <x:v>42</x:v>
      </x:c>
      <x:c r="B85" t="str">
        <x:v>Laptop</x:v>
      </x:c>
      <x:c r="C85" t="str">
        <x:v>A</x:v>
      </x:c>
      <x:c r="D85" t="str">
        <x:v>Publisher A (blinded)</x:v>
      </x:c>
      <x:c r="E85" t="n">
        <x:v>17</x:v>
      </x:c>
      <x:c r="F85" t="n">
        <x:v>11</x:v>
      </x:c>
      <x:c r="G85" t="n">
        <x:v>11</x:v>
      </x:c>
      <x:c r="H85" t="n">
        <x:v>14</x:v>
      </x:c>
      <x:c r="I85" t="n">
        <x:v>10</x:v>
      </x:c>
      <x:c r="J85" t="n">
        <x:v>3</x:v>
      </x:c>
      <x:c r="K85" t="n">
        <x:v>3</x:v>
      </x:c>
      <x:c r="L85" t="n">
        <x:v>0</x:v>
      </x:c>
      <x:c r="M85" t="n">
        <x:v>52</x:v>
      </x:c>
      <x:c r="N85" t="n">
        <x:v>0</x:v>
      </x:c>
      <x:c r="O85" t="n">
        <x:v>0</x:v>
      </x:c>
      <x:c r="P85" t="n">
        <x:v>1</x:v>
      </x:c>
      <x:c r="Q85" t="n">
        <x:v>1</x:v>
      </x:c>
      <x:c r="R85" s="89" t="n">
        <x:f>IFERROR(F85/E85,0)</x:f>
        <x:v>0.6470588235294118</x:v>
      </x:c>
      <x:c r="S85" s="89" t="n">
        <x:f>IFERROR(G85/F85,0)</x:f>
        <x:v>1</x:v>
      </x:c>
      <x:c r="T85" s="89" t="n">
        <x:f>IFERROR((H85+2*I85+3*J85+4*K85+5*L85)/(5*M85),0)</x:f>
        <x:v>0.21153846153846154</x:v>
      </x:c>
      <x:c r="U85" t="n">
        <x:f>SUM(O85:Q85)</x:f>
        <x:v>2</x:v>
      </x:c>
      <x:c r="V85" s="89" t="n">
        <x:f>0.3*S85+0.3*R85+0.3*(1-T85)-0.1*N85</x:f>
        <x:v>0.7306561085972851</x:v>
      </x:c>
    </x:row>
    <x:row r="86">
      <x:c r="A86" t="n">
        <x:v>42</x:v>
      </x:c>
      <x:c r="B86" t="str">
        <x:v>Laptop</x:v>
      </x:c>
      <x:c r="C86" t="str">
        <x:v>B</x:v>
      </x:c>
      <x:c r="D86" t="str">
        <x:v>Publisher B (blinded)</x:v>
      </x:c>
      <x:c r="E86" t="n">
        <x:v>17</x:v>
      </x:c>
      <x:c r="F86" t="n">
        <x:v>16</x:v>
      </x:c>
      <x:c r="G86" t="n">
        <x:v>16</x:v>
      </x:c>
      <x:c r="H86" t="n">
        <x:v>15</x:v>
      </x:c>
      <x:c r="I86" t="n">
        <x:v>5</x:v>
      </x:c>
      <x:c r="J86" t="n">
        <x:v>3</x:v>
      </x:c>
      <x:c r="K86" t="n">
        <x:v>2</x:v>
      </x:c>
      <x:c r="L86" t="n">
        <x:v>0</x:v>
      </x:c>
      <x:c r="M86" t="n">
        <x:v>55</x:v>
      </x:c>
      <x:c r="N86" t="n">
        <x:v>0</x:v>
      </x:c>
      <x:c r="O86" t="n">
        <x:v>0</x:v>
      </x:c>
      <x:c r="P86" t="n">
        <x:v>1</x:v>
      </x:c>
      <x:c r="Q86" t="n">
        <x:v>0</x:v>
      </x:c>
      <x:c r="R86" s="89" t="n">
        <x:f>IFERROR(F86/E86,0)</x:f>
        <x:v>0.9411764705882353</x:v>
      </x:c>
      <x:c r="S86" s="89" t="n">
        <x:f>IFERROR(G86/F86,0)</x:f>
        <x:v>1</x:v>
      </x:c>
      <x:c r="T86" s="89" t="n">
        <x:f>IFERROR((H86+2*I86+3*J86+4*K86+5*L86)/(5*M86),0)</x:f>
        <x:v>0.15272727272727274</x:v>
      </x:c>
      <x:c r="U86" t="n">
        <x:f>SUM(O86:Q86)</x:f>
        <x:v>1</x:v>
      </x:c>
      <x:c r="V86" s="89" t="n">
        <x:f>0.3*S86+0.3*R86+0.3*(1-T86)-0.1*N86</x:f>
        <x:v>0.8365347593582887</x:v>
      </x:c>
    </x:row>
    <x:row r="87">
      <x:c r="A87" t="n">
        <x:v>43</x:v>
      </x:c>
      <x:c r="B87" t="str">
        <x:v>Wireless Earbuds</x:v>
      </x:c>
      <x:c r="C87" t="str">
        <x:v>A</x:v>
      </x:c>
      <x:c r="D87" t="str">
        <x:v>Publisher A (blinded)</x:v>
      </x:c>
      <x:c r="E87" t="n">
        <x:v>17</x:v>
      </x:c>
      <x:c r="F87" t="n">
        <x:v>17</x:v>
      </x:c>
      <x:c r="G87" t="n">
        <x:v>17</x:v>
      </x:c>
      <x:c r="H87" t="n">
        <x:v>13</x:v>
      </x:c>
      <x:c r="I87" t="n">
        <x:v>4</x:v>
      </x:c>
      <x:c r="J87" t="n">
        <x:v>5</x:v>
      </x:c>
      <x:c r="K87" t="n">
        <x:v>3</x:v>
      </x:c>
      <x:c r="L87" t="n">
        <x:v>0</x:v>
      </x:c>
      <x:c r="M87" t="n">
        <x:v>55</x:v>
      </x:c>
      <x:c r="N87" t="n">
        <x:v>0</x:v>
      </x:c>
      <x:c r="O87" t="n">
        <x:v>0</x:v>
      </x:c>
      <x:c r="P87" t="n">
        <x:v>1</x:v>
      </x:c>
      <x:c r="Q87" t="n">
        <x:v>0</x:v>
      </x:c>
      <x:c r="R87" s="89" t="n">
        <x:f>IFERROR(F87/E87,0)</x:f>
        <x:v>1</x:v>
      </x:c>
      <x:c r="S87" s="89" t="n">
        <x:f>IFERROR(G87/F87,0)</x:f>
        <x:v>1</x:v>
      </x:c>
      <x:c r="T87" s="89" t="n">
        <x:f>IFERROR((H87+2*I87+3*J87+4*K87+5*L87)/(5*M87),0)</x:f>
        <x:v>0.17454545454545456</x:v>
      </x:c>
      <x:c r="U87" t="n">
        <x:f>SUM(O87:Q87)</x:f>
        <x:v>1</x:v>
      </x:c>
      <x:c r="V87" s="89" t="n">
        <x:f>0.3*S87+0.3*R87+0.3*(1-T87)-0.1*N87</x:f>
        <x:v>0.8476363636363636</x:v>
      </x:c>
    </x:row>
    <x:row r="88">
      <x:c r="A88" t="n">
        <x:v>43</x:v>
      </x:c>
      <x:c r="B88" t="str">
        <x:v>Wireless Earbuds</x:v>
      </x:c>
      <x:c r="C88" t="str">
        <x:v>B</x:v>
      </x:c>
      <x:c r="D88" t="str">
        <x:v>Publisher B (blinded)</x:v>
      </x:c>
      <x:c r="E88" t="n">
        <x:v>17</x:v>
      </x:c>
      <x:c r="F88" t="n">
        <x:v>17</x:v>
      </x:c>
      <x:c r="G88" t="n">
        <x:v>17</x:v>
      </x:c>
      <x:c r="H88" t="n">
        <x:v>15</x:v>
      </x:c>
      <x:c r="I88" t="n">
        <x:v>7</x:v>
      </x:c>
      <x:c r="J88" t="n">
        <x:v>5</x:v>
      </x:c>
      <x:c r="K88" t="n">
        <x:v>4</x:v>
      </x:c>
      <x:c r="L88" t="n">
        <x:v>0</x:v>
      </x:c>
      <x:c r="M88" t="n">
        <x:v>60</x:v>
      </x:c>
      <x:c r="N88" t="n">
        <x:v>0</x:v>
      </x:c>
      <x:c r="O88" t="n">
        <x:v>0</x:v>
      </x:c>
      <x:c r="P88" t="n">
        <x:v>1</x:v>
      </x:c>
      <x:c r="Q88" t="n">
        <x:v>0</x:v>
      </x:c>
      <x:c r="R88" s="89" t="n">
        <x:f>IFERROR(F88/E88,0)</x:f>
        <x:v>1</x:v>
      </x:c>
      <x:c r="S88" s="89" t="n">
        <x:f>IFERROR(G88/F88,0)</x:f>
        <x:v>1</x:v>
      </x:c>
      <x:c r="T88" s="89" t="n">
        <x:f>IFERROR((H88+2*I88+3*J88+4*K88+5*L88)/(5*M88),0)</x:f>
        <x:v>0.2</x:v>
      </x:c>
      <x:c r="U88" t="n">
        <x:f>SUM(O88:Q88)</x:f>
        <x:v>1</x:v>
      </x:c>
      <x:c r="V88" s="89" t="n">
        <x:f>0.3*S88+0.3*R88+0.3*(1-T88)-0.1*N88</x:f>
        <x:v>0.84</x:v>
      </x:c>
    </x:row>
    <x:row r="89">
      <x:c r="A89" t="n">
        <x:v>44</x:v>
      </x:c>
      <x:c r="B89" t="str">
        <x:v>Mechanical Keyboard</x:v>
      </x:c>
      <x:c r="C89" t="str">
        <x:v>A</x:v>
      </x:c>
      <x:c r="D89" t="str">
        <x:v>Publisher A (blinded)</x:v>
      </x:c>
      <x:c r="E89" t="n">
        <x:v>17</x:v>
      </x:c>
      <x:c r="F89" t="n">
        <x:v>16</x:v>
      </x:c>
      <x:c r="G89" t="n">
        <x:v>15</x:v>
      </x:c>
      <x:c r="H89" t="n">
        <x:v>18</x:v>
      </x:c>
      <x:c r="I89" t="n">
        <x:v>4</x:v>
      </x:c>
      <x:c r="J89" t="n">
        <x:v>5</x:v>
      </x:c>
      <x:c r="K89" t="n">
        <x:v>5</x:v>
      </x:c>
      <x:c r="L89" t="n">
        <x:v>0</x:v>
      </x:c>
      <x:c r="M89" t="n">
        <x:v>61</x:v>
      </x:c>
      <x:c r="N89" t="n">
        <x:v>0</x:v>
      </x:c>
      <x:c r="O89" t="n">
        <x:v>0</x:v>
      </x:c>
      <x:c r="P89" t="n">
        <x:v>1</x:v>
      </x:c>
      <x:c r="Q89" t="n">
        <x:v>1</x:v>
      </x:c>
      <x:c r="R89" s="89" t="n">
        <x:f>IFERROR(F89/E89,0)</x:f>
        <x:v>0.9411764705882353</x:v>
      </x:c>
      <x:c r="S89" s="89" t="n">
        <x:f>IFERROR(G89/F89,0)</x:f>
        <x:v>0.9375</x:v>
      </x:c>
      <x:c r="T89" s="89" t="n">
        <x:f>IFERROR((H89+2*I89+3*J89+4*K89+5*L89)/(5*M89),0)</x:f>
        <x:v>0.2</x:v>
      </x:c>
      <x:c r="U89" t="n">
        <x:f>SUM(O89:Q89)</x:f>
        <x:v>2</x:v>
      </x:c>
      <x:c r="V89" s="89" t="n">
        <x:f>0.3*S89+0.3*R89+0.3*(1-T89)-0.1*N89</x:f>
        <x:v>0.8036029411764706</x:v>
      </x:c>
    </x:row>
    <x:row r="90">
      <x:c r="A90" t="n">
        <x:v>44</x:v>
      </x:c>
      <x:c r="B90" t="str">
        <x:v>Mechanical Keyboard</x:v>
      </x:c>
      <x:c r="C90" t="str">
        <x:v>B</x:v>
      </x:c>
      <x:c r="D90" t="str">
        <x:v>Publisher B (blinded)</x:v>
      </x:c>
      <x:c r="E90" t="n">
        <x:v>17</x:v>
      </x:c>
      <x:c r="F90" t="n">
        <x:v>17</x:v>
      </x:c>
      <x:c r="G90" t="n">
        <x:v>15</x:v>
      </x:c>
      <x:c r="H90" t="n">
        <x:v>19</x:v>
      </x:c>
      <x:c r="I90" t="n">
        <x:v>2</x:v>
      </x:c>
      <x:c r="J90" t="n">
        <x:v>0</x:v>
      </x:c>
      <x:c r="K90" t="n">
        <x:v>6</x:v>
      </x:c>
      <x:c r="L90" t="n">
        <x:v>0</x:v>
      </x:c>
      <x:c r="M90" t="n">
        <x:v>58</x:v>
      </x:c>
      <x:c r="N90" t="n">
        <x:v>0</x:v>
      </x:c>
      <x:c r="O90" t="n">
        <x:v>0</x:v>
      </x:c>
      <x:c r="P90" t="n">
        <x:v>1</x:v>
      </x:c>
      <x:c r="Q90" t="n">
        <x:v>1</x:v>
      </x:c>
      <x:c r="R90" s="89" t="n">
        <x:f>IFERROR(F90/E90,0)</x:f>
        <x:v>1</x:v>
      </x:c>
      <x:c r="S90" s="89" t="n">
        <x:f>IFERROR(G90/F90,0)</x:f>
        <x:v>0.8823529411764706</x:v>
      </x:c>
      <x:c r="T90" s="89" t="n">
        <x:f>IFERROR((H90+2*I90+3*J90+4*K90+5*L90)/(5*M90),0)</x:f>
        <x:v>0.16206896551724137</x:v>
      </x:c>
      <x:c r="U90" t="n">
        <x:f>SUM(O90:Q90)</x:f>
        <x:v>2</x:v>
      </x:c>
      <x:c r="V90" s="89" t="n">
        <x:f>0.3*S90+0.3*R90+0.3*(1-T90)-0.1*N90</x:f>
        <x:v>0.8160851926977688</x:v>
      </x:c>
    </x:row>
    <x:row r="91">
      <x:c r="A91" t="n">
        <x:v>45</x:v>
      </x:c>
      <x:c r="B91" t="str">
        <x:v>Refrigerator</x:v>
      </x:c>
      <x:c r="C91" t="str">
        <x:v>A</x:v>
      </x:c>
      <x:c r="D91" t="str">
        <x:v>Publisher A (blinded)</x:v>
      </x:c>
      <x:c r="E91" t="n">
        <x:v>17</x:v>
      </x:c>
      <x:c r="F91" t="n">
        <x:v>17</x:v>
      </x:c>
      <x:c r="G91" t="n">
        <x:v>17</x:v>
      </x:c>
      <x:c r="H91" t="n">
        <x:v>14</x:v>
      </x:c>
      <x:c r="I91" t="n">
        <x:v>5</x:v>
      </x:c>
      <x:c r="J91" t="n">
        <x:v>4</x:v>
      </x:c>
      <x:c r="K91" t="n">
        <x:v>4</x:v>
      </x:c>
      <x:c r="L91" t="n">
        <x:v>0</x:v>
      </x:c>
      <x:c r="M91" t="n">
        <x:v>58</x:v>
      </x:c>
      <x:c r="N91" t="n">
        <x:v>0</x:v>
      </x:c>
      <x:c r="O91" t="n">
        <x:v>0</x:v>
      </x:c>
      <x:c r="P91" t="n">
        <x:v>1</x:v>
      </x:c>
      <x:c r="Q91" t="n">
        <x:v>0</x:v>
      </x:c>
      <x:c r="R91" s="89" t="n">
        <x:f>IFERROR(F91/E91,0)</x:f>
        <x:v>1</x:v>
      </x:c>
      <x:c r="S91" s="89" t="n">
        <x:f>IFERROR(G91/F91,0)</x:f>
        <x:v>1</x:v>
      </x:c>
      <x:c r="T91" s="89" t="n">
        <x:f>IFERROR((H91+2*I91+3*J91+4*K91+5*L91)/(5*M91),0)</x:f>
        <x:v>0.1793103448275862</x:v>
      </x:c>
      <x:c r="U91" t="n">
        <x:f>SUM(O91:Q91)</x:f>
        <x:v>1</x:v>
      </x:c>
      <x:c r="V91" s="89" t="n">
        <x:f>0.3*S91+0.3*R91+0.3*(1-T91)-0.1*N91</x:f>
        <x:v>0.8462068965517241</x:v>
      </x:c>
    </x:row>
    <x:row r="92">
      <x:c r="A92" t="n">
        <x:v>45</x:v>
      </x:c>
      <x:c r="B92" t="str">
        <x:v>Refrigerator</x:v>
      </x:c>
      <x:c r="C92" t="str">
        <x:v>B</x:v>
      </x:c>
      <x:c r="D92" t="str">
        <x:v>Publisher B (blinded)</x:v>
      </x:c>
      <x:c r="E92" t="n">
        <x:v>17</x:v>
      </x:c>
      <x:c r="F92" t="n">
        <x:v>16</x:v>
      </x:c>
      <x:c r="G92" t="n">
        <x:v>15</x:v>
      </x:c>
      <x:c r="H92" t="n">
        <x:v>18</x:v>
      </x:c>
      <x:c r="I92" t="n">
        <x:v>7</x:v>
      </x:c>
      <x:c r="J92" t="n">
        <x:v>4</x:v>
      </x:c>
      <x:c r="K92" t="n">
        <x:v>5</x:v>
      </x:c>
      <x:c r="L92" t="n">
        <x:v>0</x:v>
      </x:c>
      <x:c r="M92" t="n">
        <x:v>62</x:v>
      </x:c>
      <x:c r="N92" t="n">
        <x:v>0</x:v>
      </x:c>
      <x:c r="O92" t="n">
        <x:v>0</x:v>
      </x:c>
      <x:c r="P92" t="n">
        <x:v>1</x:v>
      </x:c>
      <x:c r="Q92" t="n">
        <x:v>1</x:v>
      </x:c>
      <x:c r="R92" s="89" t="n">
        <x:f>IFERROR(F92/E92,0)</x:f>
        <x:v>0.9411764705882353</x:v>
      </x:c>
      <x:c r="S92" s="89" t="n">
        <x:f>IFERROR(G92/F92,0)</x:f>
        <x:v>0.9375</x:v>
      </x:c>
      <x:c r="T92" s="89" t="n">
        <x:f>IFERROR((H92+2*I92+3*J92+4*K92+5*L92)/(5*M92),0)</x:f>
        <x:v>0.2064516129032258</x:v>
      </x:c>
      <x:c r="U92" t="n">
        <x:f>SUM(O92:Q92)</x:f>
        <x:v>2</x:v>
      </x:c>
      <x:c r="V92" s="89" t="n">
        <x:f>0.3*S92+0.3*R92+0.3*(1-T92)-0.1*N92</x:f>
        <x:v>0.8016674573055028</x:v>
      </x:c>
    </x:row>
    <x:row r="93">
      <x:c r="A93" t="n">
        <x:v>46</x:v>
      </x:c>
      <x:c r="B93" t="str">
        <x:v>Motorcycle Helmet</x:v>
      </x:c>
      <x:c r="C93" t="str">
        <x:v>A</x:v>
      </x:c>
      <x:c r="D93" t="str">
        <x:v>Publisher A (blinded)</x:v>
      </x:c>
      <x:c r="E93" t="n">
        <x:v>18</x:v>
      </x:c>
      <x:c r="F93" t="n">
        <x:v>18</x:v>
      </x:c>
      <x:c r="G93" t="n">
        <x:v>17</x:v>
      </x:c>
      <x:c r="H93" t="n">
        <x:v>12</x:v>
      </x:c>
      <x:c r="I93" t="n">
        <x:v>3</x:v>
      </x:c>
      <x:c r="J93" t="n">
        <x:v>5</x:v>
      </x:c>
      <x:c r="K93" t="n">
        <x:v>4</x:v>
      </x:c>
      <x:c r="L93" t="n">
        <x:v>4</x:v>
      </x:c>
      <x:c r="M93" t="n">
        <x:v>55</x:v>
      </x:c>
      <x:c r="N93" t="n">
        <x:v>0</x:v>
      </x:c>
      <x:c r="O93" t="n">
        <x:v>0</x:v>
      </x:c>
      <x:c r="P93" t="n">
        <x:v>1</x:v>
      </x:c>
      <x:c r="Q93" t="n">
        <x:v>1</x:v>
      </x:c>
      <x:c r="R93" s="89" t="n">
        <x:f>IFERROR(F93/E93,0)</x:f>
        <x:v>1</x:v>
      </x:c>
      <x:c r="S93" s="89" t="n">
        <x:f>IFERROR(G93/F93,0)</x:f>
        <x:v>0.9444444444444444</x:v>
      </x:c>
      <x:c r="T93" s="89" t="n">
        <x:f>IFERROR((H93+2*I93+3*J93+4*K93+5*L93)/(5*M93),0)</x:f>
        <x:v>0.2509090909090909</x:v>
      </x:c>
      <x:c r="U93" t="n">
        <x:f>SUM(O93:Q93)</x:f>
        <x:v>2</x:v>
      </x:c>
      <x:c r="V93" s="89" t="n">
        <x:f>0.3*S93+0.3*R93+0.3*(1-T93)-0.1*N93</x:f>
        <x:v>0.8080606060606059</x:v>
      </x:c>
    </x:row>
    <x:row r="94">
      <x:c r="A94" t="n">
        <x:v>46</x:v>
      </x:c>
      <x:c r="B94" t="str">
        <x:v>Motorcycle Helmet</x:v>
      </x:c>
      <x:c r="C94" t="str">
        <x:v>B</x:v>
      </x:c>
      <x:c r="D94" t="str">
        <x:v>Publisher B (blinded)</x:v>
      </x:c>
      <x:c r="E94" t="n">
        <x:v>18</x:v>
      </x:c>
      <x:c r="F94" t="n">
        <x:v>18</x:v>
      </x:c>
      <x:c r="G94" t="n">
        <x:v>18</x:v>
      </x:c>
      <x:c r="H94" t="n">
        <x:v>16</x:v>
      </x:c>
      <x:c r="I94" t="n">
        <x:v>3</x:v>
      </x:c>
      <x:c r="J94" t="n">
        <x:v>2</x:v>
      </x:c>
      <x:c r="K94" t="n">
        <x:v>4</x:v>
      </x:c>
      <x:c r="L94" t="n">
        <x:v>3</x:v>
      </x:c>
      <x:c r="M94" t="n">
        <x:v>57</x:v>
      </x:c>
      <x:c r="N94" t="n">
        <x:v>0</x:v>
      </x:c>
      <x:c r="O94" t="n">
        <x:v>0</x:v>
      </x:c>
      <x:c r="P94" t="n">
        <x:v>1</x:v>
      </x:c>
      <x:c r="Q94" t="n">
        <x:v>0</x:v>
      </x:c>
      <x:c r="R94" s="89" t="n">
        <x:f>IFERROR(F94/E94,0)</x:f>
        <x:v>1</x:v>
      </x:c>
      <x:c r="S94" s="89" t="n">
        <x:f>IFERROR(G94/F94,0)</x:f>
        <x:v>1</x:v>
      </x:c>
      <x:c r="T94" s="89" t="n">
        <x:f>IFERROR((H94+2*I94+3*J94+4*K94+5*L94)/(5*M94),0)</x:f>
        <x:v>0.20701754385964913</x:v>
      </x:c>
      <x:c r="U94" t="n">
        <x:f>SUM(O94:Q94)</x:f>
        <x:v>1</x:v>
      </x:c>
      <x:c r="V94" s="89" t="n">
        <x:f>0.3*S94+0.3*R94+0.3*(1-T94)-0.1*N94</x:f>
        <x:v>0.8378947368421052</x:v>
      </x:c>
    </x:row>
    <x:row r="95">
      <x:c r="A95" t="n">
        <x:v>47</x:v>
      </x:c>
      <x:c r="B95" t="str">
        <x:v>Backpack</x:v>
      </x:c>
      <x:c r="C95" t="str">
        <x:v>A</x:v>
      </x:c>
      <x:c r="D95" t="str">
        <x:v>Publisher A (blinded)</x:v>
      </x:c>
      <x:c r="E95" t="n">
        <x:v>16</x:v>
      </x:c>
      <x:c r="F95" t="n">
        <x:v>16</x:v>
      </x:c>
      <x:c r="G95" t="n">
        <x:v>16</x:v>
      </x:c>
      <x:c r="H95" t="n">
        <x:v>15</x:v>
      </x:c>
      <x:c r="I95" t="n">
        <x:v>5</x:v>
      </x:c>
      <x:c r="J95" t="n">
        <x:v>5</x:v>
      </x:c>
      <x:c r="K95" t="n">
        <x:v>2</x:v>
      </x:c>
      <x:c r="L95" t="n">
        <x:v>0</x:v>
      </x:c>
      <x:c r="M95" t="n">
        <x:v>55</x:v>
      </x:c>
      <x:c r="N95" t="n">
        <x:v>0</x:v>
      </x:c>
      <x:c r="O95" t="n">
        <x:v>0</x:v>
      </x:c>
      <x:c r="P95" t="n">
        <x:v>1</x:v>
      </x:c>
      <x:c r="Q95" t="n">
        <x:v>0</x:v>
      </x:c>
      <x:c r="R95" s="89" t="n">
        <x:f>IFERROR(F95/E95,0)</x:f>
        <x:v>1</x:v>
      </x:c>
      <x:c r="S95" s="89" t="n">
        <x:f>IFERROR(G95/F95,0)</x:f>
        <x:v>1</x:v>
      </x:c>
      <x:c r="T95" s="89" t="n">
        <x:f>IFERROR((H95+2*I95+3*J95+4*K95+5*L95)/(5*M95),0)</x:f>
        <x:v>0.17454545454545456</x:v>
      </x:c>
      <x:c r="U95" t="n">
        <x:f>SUM(O95:Q95)</x:f>
        <x:v>1</x:v>
      </x:c>
      <x:c r="V95" s="89" t="n">
        <x:f>0.3*S95+0.3*R95+0.3*(1-T95)-0.1*N95</x:f>
        <x:v>0.8476363636363636</x:v>
      </x:c>
    </x:row>
    <x:row r="96">
      <x:c r="A96" t="n">
        <x:v>47</x:v>
      </x:c>
      <x:c r="B96" t="str">
        <x:v>Backpack</x:v>
      </x:c>
      <x:c r="C96" t="str">
        <x:v>B</x:v>
      </x:c>
      <x:c r="D96" t="str">
        <x:v>Publisher B (blinded)</x:v>
      </x:c>
      <x:c r="E96" t="n">
        <x:v>16</x:v>
      </x:c>
      <x:c r="F96" t="n">
        <x:v>15</x:v>
      </x:c>
      <x:c r="G96" t="n">
        <x:v>15</x:v>
      </x:c>
      <x:c r="H96" t="n">
        <x:v>18</x:v>
      </x:c>
      <x:c r="I96" t="n">
        <x:v>6</x:v>
      </x:c>
      <x:c r="J96" t="n">
        <x:v>2</x:v>
      </x:c>
      <x:c r="K96" t="n">
        <x:v>3</x:v>
      </x:c>
      <x:c r="L96" t="n">
        <x:v>0</x:v>
      </x:c>
      <x:c r="M96" t="n">
        <x:v>57</x:v>
      </x:c>
      <x:c r="N96" t="n">
        <x:v>0</x:v>
      </x:c>
      <x:c r="O96" t="n">
        <x:v>0</x:v>
      </x:c>
      <x:c r="P96" t="n">
        <x:v>1</x:v>
      </x:c>
      <x:c r="Q96" t="n">
        <x:v>1</x:v>
      </x:c>
      <x:c r="R96" s="89" t="n">
        <x:f>IFERROR(F96/E96,0)</x:f>
        <x:v>0.9375</x:v>
      </x:c>
      <x:c r="S96" s="89" t="n">
        <x:f>IFERROR(G96/F96,0)</x:f>
        <x:v>1</x:v>
      </x:c>
      <x:c r="T96" s="89" t="n">
        <x:f>IFERROR((H96+2*I96+3*J96+4*K96+5*L96)/(5*M96),0)</x:f>
        <x:v>0.16842105263157894</x:v>
      </x:c>
      <x:c r="U96" t="n">
        <x:f>SUM(O96:Q96)</x:f>
        <x:v>2</x:v>
      </x:c>
      <x:c r="V96" s="89" t="n">
        <x:f>0.3*S96+0.3*R96+0.3*(1-T96)-0.1*N96</x:f>
        <x:v>0.8307236842105263</x:v>
      </x:c>
    </x:row>
    <x:row r="97">
      <x:c r="A97" t="n">
        <x:v>48</x:v>
      </x:c>
      <x:c r="B97" t="str">
        <x:v>Coffee Beans</x:v>
      </x:c>
      <x:c r="C97" t="str">
        <x:v>A</x:v>
      </x:c>
      <x:c r="D97" t="str">
        <x:v>Publisher A (blinded)</x:v>
      </x:c>
      <x:c r="E97" t="n">
        <x:v>18</x:v>
      </x:c>
      <x:c r="F97" t="n">
        <x:v>18</x:v>
      </x:c>
      <x:c r="G97" t="n">
        <x:v>18</x:v>
      </x:c>
      <x:c r="H97" t="n">
        <x:v>15</x:v>
      </x:c>
      <x:c r="I97" t="n">
        <x:v>5</x:v>
      </x:c>
      <x:c r="J97" t="n">
        <x:v>3</x:v>
      </x:c>
      <x:c r="K97" t="n">
        <x:v>3</x:v>
      </x:c>
      <x:c r="L97" t="n">
        <x:v>0</x:v>
      </x:c>
      <x:c r="M97" t="n">
        <x:v>55</x:v>
      </x:c>
      <x:c r="N97" t="n">
        <x:v>0</x:v>
      </x:c>
      <x:c r="O97" t="n">
        <x:v>0</x:v>
      </x:c>
      <x:c r="P97" t="n">
        <x:v>1</x:v>
      </x:c>
      <x:c r="Q97" t="n">
        <x:v>0</x:v>
      </x:c>
      <x:c r="R97" s="89" t="n">
        <x:f>IFERROR(F97/E97,0)</x:f>
        <x:v>1</x:v>
      </x:c>
      <x:c r="S97" s="89" t="n">
        <x:f>IFERROR(G97/F97,0)</x:f>
        <x:v>1</x:v>
      </x:c>
      <x:c r="T97" s="89" t="n">
        <x:f>IFERROR((H97+2*I97+3*J97+4*K97+5*L97)/(5*M97),0)</x:f>
        <x:v>0.16727272727272727</x:v>
      </x:c>
      <x:c r="U97" t="n">
        <x:f>SUM(O97:Q97)</x:f>
        <x:v>1</x:v>
      </x:c>
      <x:c r="V97" s="89" t="n">
        <x:f>0.3*S97+0.3*R97+0.3*(1-T97)-0.1*N97</x:f>
        <x:v>0.8498181818181818</x:v>
      </x:c>
    </x:row>
    <x:row r="98">
      <x:c r="A98" t="n">
        <x:v>48</x:v>
      </x:c>
      <x:c r="B98" t="str">
        <x:v>Coffee Beans</x:v>
      </x:c>
      <x:c r="C98" t="str">
        <x:v>B</x:v>
      </x:c>
      <x:c r="D98" t="str">
        <x:v>Publisher B (blinded)</x:v>
      </x:c>
      <x:c r="E98" t="n">
        <x:v>18</x:v>
      </x:c>
      <x:c r="F98" t="n">
        <x:v>17</x:v>
      </x:c>
      <x:c r="G98" t="n">
        <x:v>17</x:v>
      </x:c>
      <x:c r="H98" t="n">
        <x:v>17</x:v>
      </x:c>
      <x:c r="I98" t="n">
        <x:v>6</x:v>
      </x:c>
      <x:c r="J98" t="n">
        <x:v>4</x:v>
      </x:c>
      <x:c r="K98" t="n">
        <x:v>3</x:v>
      </x:c>
      <x:c r="L98" t="n">
        <x:v>0</x:v>
      </x:c>
      <x:c r="M98" t="n">
        <x:v>58</x:v>
      </x:c>
      <x:c r="N98" t="n">
        <x:v>0</x:v>
      </x:c>
      <x:c r="O98" t="n">
        <x:v>0</x:v>
      </x:c>
      <x:c r="P98" t="n">
        <x:v>1</x:v>
      </x:c>
      <x:c r="Q98" t="n">
        <x:v>1</x:v>
      </x:c>
      <x:c r="R98" s="89" t="n">
        <x:f>IFERROR(F98/E98,0)</x:f>
        <x:v>0.9444444444444444</x:v>
      </x:c>
      <x:c r="S98" s="89" t="n">
        <x:f>IFERROR(G98/F98,0)</x:f>
        <x:v>1</x:v>
      </x:c>
      <x:c r="T98" s="89" t="n">
        <x:f>IFERROR((H98+2*I98+3*J98+4*K98+5*L98)/(5*M98),0)</x:f>
        <x:v>0.18275862068965518</x:v>
      </x:c>
      <x:c r="U98" t="n">
        <x:f>SUM(O98:Q98)</x:f>
        <x:v>2</x:v>
      </x:c>
      <x:c r="V98" s="89" t="n">
        <x:f>0.3*S98+0.3*R98+0.3*(1-T98)-0.1*N98</x:f>
        <x:v>0.8285057471264367</x:v>
      </x:c>
    </x:row>
    <x:row r="99">
      <x:c r="A99" t="n">
        <x:v>49</x:v>
      </x:c>
      <x:c r="B99" t="str">
        <x:v>Sunscreen</x:v>
      </x:c>
      <x:c r="C99" t="str">
        <x:v>A</x:v>
      </x:c>
      <x:c r="D99" t="str">
        <x:v>Publisher A (blinded)</x:v>
      </x:c>
      <x:c r="E99" t="n">
        <x:v>15</x:v>
      </x:c>
      <x:c r="F99" t="n">
        <x:v>15</x:v>
      </x:c>
      <x:c r="G99" t="n">
        <x:v>14</x:v>
      </x:c>
      <x:c r="H99" t="n">
        <x:v>12</x:v>
      </x:c>
      <x:c r="I99" t="n">
        <x:v>4</x:v>
      </x:c>
      <x:c r="J99" t="n">
        <x:v>2</x:v>
      </x:c>
      <x:c r="K99" t="n">
        <x:v>4</x:v>
      </x:c>
      <x:c r="L99" t="n">
        <x:v>5</x:v>
      </x:c>
      <x:c r="M99" t="n">
        <x:v>52</x:v>
      </x:c>
      <x:c r="N99" t="n">
        <x:v>0</x:v>
      </x:c>
      <x:c r="O99" t="n">
        <x:v>0</x:v>
      </x:c>
      <x:c r="P99" t="n">
        <x:v>1</x:v>
      </x:c>
      <x:c r="Q99" t="n">
        <x:v>1</x:v>
      </x:c>
      <x:c r="R99" s="89" t="n">
        <x:f>IFERROR(F99/E99,0)</x:f>
        <x:v>1</x:v>
      </x:c>
      <x:c r="S99" s="89" t="n">
        <x:f>IFERROR(G99/F99,0)</x:f>
        <x:v>0.9333333333333333</x:v>
      </x:c>
      <x:c r="T99" s="89" t="n">
        <x:f>IFERROR((H99+2*I99+3*J99+4*K99+5*L99)/(5*M99),0)</x:f>
        <x:v>0.25769230769230766</x:v>
      </x:c>
      <x:c r="U99" t="n">
        <x:f>SUM(O99:Q99)</x:f>
        <x:v>2</x:v>
      </x:c>
      <x:c r="V99" s="89" t="n">
        <x:f>0.3*S99+0.3*R99+0.3*(1-T99)-0.1*N99</x:f>
        <x:v>0.8026923076923076</x:v>
      </x:c>
    </x:row>
    <x:row r="100">
      <x:c r="A100" t="n">
        <x:v>49</x:v>
      </x:c>
      <x:c r="B100" t="str">
        <x:v>Sunscreen</x:v>
      </x:c>
      <x:c r="C100" t="str">
        <x:v>B</x:v>
      </x:c>
      <x:c r="D100" t="str">
        <x:v>Publisher B (blinded)</x:v>
      </x:c>
      <x:c r="E100" t="n">
        <x:v>15</x:v>
      </x:c>
      <x:c r="F100" t="n">
        <x:v>15</x:v>
      </x:c>
      <x:c r="G100" t="n">
        <x:v>13</x:v>
      </x:c>
      <x:c r="H100" t="n">
        <x:v>13</x:v>
      </x:c>
      <x:c r="I100" t="n">
        <x:v>8</x:v>
      </x:c>
      <x:c r="J100" t="n">
        <x:v>5</x:v>
      </x:c>
      <x:c r="K100" t="n">
        <x:v>4</x:v>
      </x:c>
      <x:c r="L100" t="n">
        <x:v>7</x:v>
      </x:c>
      <x:c r="M100" t="n">
        <x:v>60</x:v>
      </x:c>
      <x:c r="N100" t="n">
        <x:v>1</x:v>
      </x:c>
      <x:c r="O100" t="n">
        <x:v>0</x:v>
      </x:c>
      <x:c r="P100" t="n">
        <x:v>1</x:v>
      </x:c>
      <x:c r="Q100" t="n">
        <x:v>1</x:v>
      </x:c>
      <x:c r="R100" s="89" t="n">
        <x:f>IFERROR(F100/E100,0)</x:f>
        <x:v>1</x:v>
      </x:c>
      <x:c r="S100" s="89" t="n">
        <x:f>IFERROR(G100/F100,0)</x:f>
        <x:v>0.8666666666666667</x:v>
      </x:c>
      <x:c r="T100" s="89" t="n">
        <x:f>IFERROR((H100+2*I100+3*J100+4*K100+5*L100)/(5*M100),0)</x:f>
        <x:v>0.31666666666666665</x:v>
      </x:c>
      <x:c r="U100" t="n">
        <x:f>SUM(O100:Q100)</x:f>
        <x:v>2</x:v>
      </x:c>
      <x:c r="V100" s="89" t="n">
        <x:f>0.3*S100+0.3*R100+0.3*(1-T100)-0.1*N100</x:f>
        <x:v>0.665</x:v>
      </x:c>
    </x:row>
    <x:row r="101">
      <x:c r="A101" t="n">
        <x:v>50</x:v>
      </x:c>
      <x:c r="B101" t="str">
        <x:v>Air Fryer</x:v>
      </x:c>
      <x:c r="C101" t="str">
        <x:v>A</x:v>
      </x:c>
      <x:c r="D101" t="str">
        <x:v>Publisher A (blinded)</x:v>
      </x:c>
      <x:c r="E101" t="n">
        <x:v>17</x:v>
      </x:c>
      <x:c r="F101" t="n">
        <x:v>17</x:v>
      </x:c>
      <x:c r="G101" t="n">
        <x:v>17</x:v>
      </x:c>
      <x:c r="H101" t="n">
        <x:v>14</x:v>
      </x:c>
      <x:c r="I101" t="n">
        <x:v>7</x:v>
      </x:c>
      <x:c r="J101" t="n">
        <x:v>4</x:v>
      </x:c>
      <x:c r="K101" t="n">
        <x:v>4</x:v>
      </x:c>
      <x:c r="L101" t="n">
        <x:v>0</x:v>
      </x:c>
      <x:c r="M101" t="n">
        <x:v>57</x:v>
      </x:c>
      <x:c r="N101" t="n">
        <x:v>0</x:v>
      </x:c>
      <x:c r="O101" t="n">
        <x:v>0</x:v>
      </x:c>
      <x:c r="P101" t="n">
        <x:v>1</x:v>
      </x:c>
      <x:c r="Q101" t="n">
        <x:v>0</x:v>
      </x:c>
      <x:c r="R101" s="89" t="n">
        <x:f>IFERROR(F101/E101,0)</x:f>
        <x:v>1</x:v>
      </x:c>
      <x:c r="S101" s="89" t="n">
        <x:f>IFERROR(G101/F101,0)</x:f>
        <x:v>1</x:v>
      </x:c>
      <x:c r="T101" s="89" t="n">
        <x:f>IFERROR((H101+2*I101+3*J101+4*K101+5*L101)/(5*M101),0)</x:f>
        <x:v>0.19649122807017544</x:v>
      </x:c>
      <x:c r="U101" t="n">
        <x:f>SUM(O101:Q101)</x:f>
        <x:v>1</x:v>
      </x:c>
      <x:c r="V101" s="89" t="n">
        <x:f>0.3*S101+0.3*R101+0.3*(1-T101)-0.1*N101</x:f>
        <x:v>0.8410526315789474</x:v>
      </x:c>
    </x:row>
    <x:row r="102">
      <x:c r="A102" t="n">
        <x:v>50</x:v>
      </x:c>
      <x:c r="B102" t="str">
        <x:v>Air Fryer</x:v>
      </x:c>
      <x:c r="C102" t="str">
        <x:v>B</x:v>
      </x:c>
      <x:c r="D102" t="str">
        <x:v>Publisher B (blinded)</x:v>
      </x:c>
      <x:c r="E102" t="n">
        <x:v>17</x:v>
      </x:c>
      <x:c r="F102" t="n">
        <x:v>17</x:v>
      </x:c>
      <x:c r="G102" t="n">
        <x:v>16</x:v>
      </x:c>
      <x:c r="H102" t="n">
        <x:v>17</x:v>
      </x:c>
      <x:c r="I102" t="n">
        <x:v>10</x:v>
      </x:c>
      <x:c r="J102" t="n">
        <x:v>5</x:v>
      </x:c>
      <x:c r="K102" t="n">
        <x:v>4</x:v>
      </x:c>
      <x:c r="L102" t="n">
        <x:v>1</x:v>
      </x:c>
      <x:c r="M102" t="n">
        <x:v>65</x:v>
      </x:c>
      <x:c r="N102" t="n">
        <x:v>0</x:v>
      </x:c>
      <x:c r="O102" t="n">
        <x:v>0</x:v>
      </x:c>
      <x:c r="P102" t="n">
        <x:v>1</x:v>
      </x:c>
      <x:c r="Q102" t="n">
        <x:v>1</x:v>
      </x:c>
      <x:c r="R102" s="89" t="n">
        <x:f>IFERROR(F102/E102,0)</x:f>
        <x:v>1</x:v>
      </x:c>
      <x:c r="S102" s="89" t="n">
        <x:f>IFERROR(G102/F102,0)</x:f>
        <x:v>0.9411764705882353</x:v>
      </x:c>
      <x:c r="T102" s="89" t="n">
        <x:f>IFERROR((H102+2*I102+3*J102+4*K102+5*L102)/(5*M102),0)</x:f>
        <x:v>0.2246153846153846</x:v>
      </x:c>
      <x:c r="U102" t="n">
        <x:f>SUM(O102:Q102)</x:f>
        <x:v>2</x:v>
      </x:c>
      <x:c r="V102" s="89" t="n">
        <x:f>0.3*S102+0.3*R102+0.3*(1-T102)-0.1*N102</x:f>
        <x:v>0.8149683257918551</x:v>
      </x:c>
    </x:row>
    <x:row r="103">
      <x:c r="A103" t="n">
        <x:v>51</x:v>
      </x:c>
      <x:c r="B103" t="str">
        <x:v>Running Shoes</x:v>
      </x:c>
      <x:c r="C103" t="str">
        <x:v>A</x:v>
      </x:c>
      <x:c r="D103" t="str">
        <x:v>Publisher A (blinded)</x:v>
      </x:c>
      <x:c r="E103" t="n">
        <x:v>16</x:v>
      </x:c>
      <x:c r="F103" t="n">
        <x:v>15</x:v>
      </x:c>
      <x:c r="G103" t="n">
        <x:v>15</x:v>
      </x:c>
      <x:c r="H103" t="n">
        <x:v>19</x:v>
      </x:c>
      <x:c r="I103" t="n">
        <x:v>1</x:v>
      </x:c>
      <x:c r="J103" t="n">
        <x:v>0</x:v>
      </x:c>
      <x:c r="K103" t="n">
        <x:v>3</x:v>
      </x:c>
      <x:c r="L103" t="n">
        <x:v>4</x:v>
      </x:c>
      <x:c r="M103" t="n">
        <x:v>55</x:v>
      </x:c>
      <x:c r="N103" t="n">
        <x:v>0</x:v>
      </x:c>
      <x:c r="O103" t="n">
        <x:v>0</x:v>
      </x:c>
      <x:c r="P103" t="n">
        <x:v>1</x:v>
      </x:c>
      <x:c r="Q103" t="n">
        <x:v>1</x:v>
      </x:c>
      <x:c r="R103" s="89" t="n">
        <x:f>IFERROR(F103/E103,0)</x:f>
        <x:v>0.9375</x:v>
      </x:c>
      <x:c r="S103" s="89" t="n">
        <x:f>IFERROR(G103/F103,0)</x:f>
        <x:v>1</x:v>
      </x:c>
      <x:c r="T103" s="89" t="n">
        <x:f>IFERROR((H103+2*I103+3*J103+4*K103+5*L103)/(5*M103),0)</x:f>
        <x:v>0.19272727272727272</x:v>
      </x:c>
      <x:c r="U103" t="n">
        <x:f>SUM(O103:Q103)</x:f>
        <x:v>2</x:v>
      </x:c>
      <x:c r="V103" s="89" t="n">
        <x:f>0.3*S103+0.3*R103+0.3*(1-T103)-0.1*N103</x:f>
        <x:v>0.8234318181818182</x:v>
      </x:c>
    </x:row>
    <x:row r="104">
      <x:c r="A104" t="n">
        <x:v>51</x:v>
      </x:c>
      <x:c r="B104" t="str">
        <x:v>Running Shoes</x:v>
      </x:c>
      <x:c r="C104" t="str">
        <x:v>B</x:v>
      </x:c>
      <x:c r="D104" t="str">
        <x:v>Publisher B (blinded)</x:v>
      </x:c>
      <x:c r="E104" t="n">
        <x:v>16</x:v>
      </x:c>
      <x:c r="F104" t="n">
        <x:v>15</x:v>
      </x:c>
      <x:c r="G104" t="n">
        <x:v>15</x:v>
      </x:c>
      <x:c r="H104" t="n">
        <x:v>12</x:v>
      </x:c>
      <x:c r="I104" t="n">
        <x:v>2</x:v>
      </x:c>
      <x:c r="J104" t="n">
        <x:v>0</x:v>
      </x:c>
      <x:c r="K104" t="n">
        <x:v>0</x:v>
      </x:c>
      <x:c r="L104" t="n">
        <x:v>3</x:v>
      </x:c>
      <x:c r="M104" t="n">
        <x:v>52</x:v>
      </x:c>
      <x:c r="N104" t="n">
        <x:v>0</x:v>
      </x:c>
      <x:c r="O104" t="n">
        <x:v>0</x:v>
      </x:c>
      <x:c r="P104" t="n">
        <x:v>1</x:v>
      </x:c>
      <x:c r="Q104" t="n">
        <x:v>1</x:v>
      </x:c>
      <x:c r="R104" s="89" t="n">
        <x:f>IFERROR(F104/E104,0)</x:f>
        <x:v>0.9375</x:v>
      </x:c>
      <x:c r="S104" s="89" t="n">
        <x:f>IFERROR(G104/F104,0)</x:f>
        <x:v>1</x:v>
      </x:c>
      <x:c r="T104" s="89" t="n">
        <x:f>IFERROR((H104+2*I104+3*J104+4*K104+5*L104)/(5*M104),0)</x:f>
        <x:v>0.11923076923076924</x:v>
      </x:c>
      <x:c r="U104" t="n">
        <x:f>SUM(O104:Q104)</x:f>
        <x:v>2</x:v>
      </x:c>
      <x:c r="V104" s="89" t="n">
        <x:f>0.3*S104+0.3*R104+0.3*(1-T104)-0.1*N104</x:f>
        <x:v>0.8454807692307693</x:v>
      </x:c>
    </x:row>
    <x:row r="105">
      <x:c r="A105" t="n">
        <x:v>52</x:v>
      </x:c>
      <x:c r="B105" t="str">
        <x:v>Electric Toothbrush</x:v>
      </x:c>
      <x:c r="C105" t="str">
        <x:v>A</x:v>
      </x:c>
      <x:c r="D105" t="str">
        <x:v>Publisher A (blinded)</x:v>
      </x:c>
      <x:c r="E105" t="n">
        <x:v>17</x:v>
      </x:c>
      <x:c r="F105" t="n">
        <x:v>17</x:v>
      </x:c>
      <x:c r="G105" t="n">
        <x:v>17</x:v>
      </x:c>
      <x:c r="H105" t="n">
        <x:v>6</x:v>
      </x:c>
      <x:c r="I105" t="n">
        <x:v>1</x:v>
      </x:c>
      <x:c r="J105" t="n">
        <x:v>1</x:v>
      </x:c>
      <x:c r="K105" t="n">
        <x:v>0</x:v>
      </x:c>
      <x:c r="L105" t="n">
        <x:v>5</x:v>
      </x:c>
      <x:c r="M105" t="n">
        <x:v>46</x:v>
      </x:c>
      <x:c r="N105" t="n">
        <x:v>0</x:v>
      </x:c>
      <x:c r="O105" t="n">
        <x:v>0</x:v>
      </x:c>
      <x:c r="P105" t="n">
        <x:v>1</x:v>
      </x:c>
      <x:c r="Q105" t="n">
        <x:v>0</x:v>
      </x:c>
      <x:c r="R105" s="89" t="n">
        <x:f>IFERROR(F105/E105,0)</x:f>
        <x:v>1</x:v>
      </x:c>
      <x:c r="S105" s="89" t="n">
        <x:f>IFERROR(G105/F105,0)</x:f>
        <x:v>1</x:v>
      </x:c>
      <x:c r="T105" s="89" t="n">
        <x:f>IFERROR((H105+2*I105+3*J105+4*K105+5*L105)/(5*M105),0)</x:f>
        <x:v>0.1565217391304348</x:v>
      </x:c>
      <x:c r="U105" t="n">
        <x:f>SUM(O105:Q105)</x:f>
        <x:v>1</x:v>
      </x:c>
      <x:c r="V105" s="89" t="n">
        <x:f>0.3*S105+0.3*R105+0.3*(1-T105)-0.1*N105</x:f>
        <x:v>0.8530434782608696</x:v>
      </x:c>
    </x:row>
    <x:row r="106">
      <x:c r="A106" t="n">
        <x:v>52</x:v>
      </x:c>
      <x:c r="B106" t="str">
        <x:v>Electric Toothbrush</x:v>
      </x:c>
      <x:c r="C106" t="str">
        <x:v>B</x:v>
      </x:c>
      <x:c r="D106" t="str">
        <x:v>Publisher B (blinded)</x:v>
      </x:c>
      <x:c r="E106" t="n">
        <x:v>17</x:v>
      </x:c>
      <x:c r="F106" t="n">
        <x:v>17</x:v>
      </x:c>
      <x:c r="G106" t="n">
        <x:v>16</x:v>
      </x:c>
      <x:c r="H106" t="n">
        <x:v>2</x:v>
      </x:c>
      <x:c r="I106" t="n">
        <x:v>2</x:v>
      </x:c>
      <x:c r="J106" t="n">
        <x:v>2</x:v>
      </x:c>
      <x:c r="K106" t="n">
        <x:v>0</x:v>
      </x:c>
      <x:c r="L106" t="n">
        <x:v>7</x:v>
      </x:c>
      <x:c r="M106" t="n">
        <x:v>45</x:v>
      </x:c>
      <x:c r="N106" t="n">
        <x:v>0</x:v>
      </x:c>
      <x:c r="O106" t="n">
        <x:v>0</x:v>
      </x:c>
      <x:c r="P106" t="n">
        <x:v>1</x:v>
      </x:c>
      <x:c r="Q106" t="n">
        <x:v>0</x:v>
      </x:c>
      <x:c r="R106" s="89" t="n">
        <x:f>IFERROR(F106/E106,0)</x:f>
        <x:v>1</x:v>
      </x:c>
      <x:c r="S106" s="89" t="n">
        <x:f>IFERROR(G106/F106,0)</x:f>
        <x:v>0.9411764705882353</x:v>
      </x:c>
      <x:c r="T106" s="89" t="n">
        <x:f>IFERROR((H106+2*I106+3*J106+4*K106+5*L106)/(5*M106),0)</x:f>
        <x:v>0.2088888888888889</x:v>
      </x:c>
      <x:c r="U106" t="n">
        <x:f>SUM(O106:Q106)</x:f>
        <x:v>1</x:v>
      </x:c>
      <x:c r="V106" s="89" t="n">
        <x:f>0.3*S106+0.3*R106+0.3*(1-T106)-0.1*N106</x:f>
        <x:v>0.8196862745098038</x:v>
      </x:c>
    </x:row>
    <x:row r="107">
      <x:c r="A107" t="n">
        <x:v>53</x:v>
      </x:c>
      <x:c r="B107" t="str">
        <x:v>Smartwatch</x:v>
      </x:c>
      <x:c r="C107" t="str">
        <x:v>A</x:v>
      </x:c>
      <x:c r="D107" t="str">
        <x:v>Publisher A (blinded)</x:v>
      </x:c>
      <x:c r="E107" t="n">
        <x:v>15</x:v>
      </x:c>
      <x:c r="F107" t="n">
        <x:v>13</x:v>
      </x:c>
      <x:c r="G107" t="n">
        <x:v>13</x:v>
      </x:c>
      <x:c r="H107" t="n">
        <x:v>16</x:v>
      </x:c>
      <x:c r="I107" t="n">
        <x:v>1</x:v>
      </x:c>
      <x:c r="J107" t="n">
        <x:v>4</x:v>
      </x:c>
      <x:c r="K107" t="n">
        <x:v>1</x:v>
      </x:c>
      <x:c r="L107" t="n">
        <x:v>0</x:v>
      </x:c>
      <x:c r="M107" t="n">
        <x:v>47</x:v>
      </x:c>
      <x:c r="N107" t="n">
        <x:v>0</x:v>
      </x:c>
      <x:c r="O107" t="n">
        <x:v>0</x:v>
      </x:c>
      <x:c r="P107" t="n">
        <x:v>1</x:v>
      </x:c>
      <x:c r="Q107" t="n">
        <x:v>1</x:v>
      </x:c>
      <x:c r="R107" s="89" t="n">
        <x:f>IFERROR(F107/E107,0)</x:f>
        <x:v>0.8666666666666667</x:v>
      </x:c>
      <x:c r="S107" s="89" t="n">
        <x:f>IFERROR(G107/F107,0)</x:f>
        <x:v>1</x:v>
      </x:c>
      <x:c r="T107" s="89" t="n">
        <x:f>IFERROR((H107+2*I107+3*J107+4*K107+5*L107)/(5*M107),0)</x:f>
        <x:v>0.14468085106382977</x:v>
      </x:c>
      <x:c r="U107" t="n">
        <x:f>SUM(O107:Q107)</x:f>
        <x:v>2</x:v>
      </x:c>
      <x:c r="V107" s="89" t="n">
        <x:f>0.3*S107+0.3*R107+0.3*(1-T107)-0.1*N107</x:f>
        <x:v>0.8165957446808512</x:v>
      </x:c>
    </x:row>
    <x:row r="108">
      <x:c r="A108" t="n">
        <x:v>53</x:v>
      </x:c>
      <x:c r="B108" t="str">
        <x:v>Smartwatch</x:v>
      </x:c>
      <x:c r="C108" t="str">
        <x:v>B</x:v>
      </x:c>
      <x:c r="D108" t="str">
        <x:v>Publisher B (blinded)</x:v>
      </x:c>
      <x:c r="E108" t="n">
        <x:v>15</x:v>
      </x:c>
      <x:c r="F108" t="n">
        <x:v>14</x:v>
      </x:c>
      <x:c r="G108" t="n">
        <x:v>13</x:v>
      </x:c>
      <x:c r="H108" t="n">
        <x:v>19</x:v>
      </x:c>
      <x:c r="I108" t="n">
        <x:v>0</x:v>
      </x:c>
      <x:c r="J108" t="n">
        <x:v>2</x:v>
      </x:c>
      <x:c r="K108" t="n">
        <x:v>1</x:v>
      </x:c>
      <x:c r="L108" t="n">
        <x:v>0</x:v>
      </x:c>
      <x:c r="M108" t="n">
        <x:v>49</x:v>
      </x:c>
      <x:c r="N108" t="n">
        <x:v>0</x:v>
      </x:c>
      <x:c r="O108" t="n">
        <x:v>0</x:v>
      </x:c>
      <x:c r="P108" t="n">
        <x:v>1</x:v>
      </x:c>
      <x:c r="Q108" t="n">
        <x:v>1</x:v>
      </x:c>
      <x:c r="R108" s="89" t="n">
        <x:f>IFERROR(F108/E108,0)</x:f>
        <x:v>0.9333333333333333</x:v>
      </x:c>
      <x:c r="S108" s="89" t="n">
        <x:f>IFERROR(G108/F108,0)</x:f>
        <x:v>0.9285714285714286</x:v>
      </x:c>
      <x:c r="T108" s="89" t="n">
        <x:f>IFERROR((H108+2*I108+3*J108+4*K108+5*L108)/(5*M108),0)</x:f>
        <x:v>0.11836734693877551</x:v>
      </x:c>
      <x:c r="U108" t="n">
        <x:f>SUM(O108:Q108)</x:f>
        <x:v>2</x:v>
      </x:c>
      <x:c r="V108" s="89" t="n">
        <x:f>0.3*S108+0.3*R108+0.3*(1-T108)-0.1*N108</x:f>
        <x:v>0.8230612244897959</x:v>
      </x:c>
    </x:row>
    <x:row r="109">
      <x:c r="A109" t="n">
        <x:v>54</x:v>
      </x:c>
      <x:c r="B109" t="str">
        <x:v>Home Office Chair</x:v>
      </x:c>
      <x:c r="C109" t="str">
        <x:v>A</x:v>
      </x:c>
      <x:c r="D109" t="str">
        <x:v>Publisher A (blinded)</x:v>
      </x:c>
      <x:c r="E109" t="n">
        <x:v>16</x:v>
      </x:c>
      <x:c r="F109" t="n">
        <x:v>10</x:v>
      </x:c>
      <x:c r="G109" t="n">
        <x:v>10</x:v>
      </x:c>
      <x:c r="H109" t="n">
        <x:v>12</x:v>
      </x:c>
      <x:c r="I109" t="n">
        <x:v>0</x:v>
      </x:c>
      <x:c r="J109" t="n">
        <x:v>0</x:v>
      </x:c>
      <x:c r="K109" t="n">
        <x:v>0</x:v>
      </x:c>
      <x:c r="L109" t="n">
        <x:v>1</x:v>
      </x:c>
      <x:c r="M109" t="n">
        <x:v>30</x:v>
      </x:c>
      <x:c r="N109" t="n">
        <x:v>0</x:v>
      </x:c>
      <x:c r="O109" t="n">
        <x:v>0</x:v>
      </x:c>
      <x:c r="P109" t="n">
        <x:v>1</x:v>
      </x:c>
      <x:c r="Q109" t="n">
        <x:v>1</x:v>
      </x:c>
      <x:c r="R109" s="89" t="n">
        <x:f>IFERROR(F109/E109,0)</x:f>
        <x:v>0.625</x:v>
      </x:c>
      <x:c r="S109" s="89" t="n">
        <x:f>IFERROR(G109/F109,0)</x:f>
        <x:v>1</x:v>
      </x:c>
      <x:c r="T109" s="89" t="n">
        <x:f>IFERROR((H109+2*I109+3*J109+4*K109+5*L109)/(5*M109),0)</x:f>
        <x:v>0.11333333333333333</x:v>
      </x:c>
      <x:c r="U109" t="n">
        <x:f>SUM(O109:Q109)</x:f>
        <x:v>2</x:v>
      </x:c>
      <x:c r="V109" s="89" t="n">
        <x:f>0.3*S109+0.3*R109+0.3*(1-T109)-0.1*N109</x:f>
        <x:v>0.7535000000000001</x:v>
      </x:c>
    </x:row>
    <x:row r="110">
      <x:c r="A110" t="n">
        <x:v>54</x:v>
      </x:c>
      <x:c r="B110" t="str">
        <x:v>Home Office Chair</x:v>
      </x:c>
      <x:c r="C110" t="str">
        <x:v>B</x:v>
      </x:c>
      <x:c r="D110" t="str">
        <x:v>Publisher B (blinded)</x:v>
      </x:c>
      <x:c r="E110" t="n">
        <x:v>16</x:v>
      </x:c>
      <x:c r="F110" t="n">
        <x:v>15</x:v>
      </x:c>
      <x:c r="G110" t="n">
        <x:v>15</x:v>
      </x:c>
      <x:c r="H110" t="n">
        <x:v>14</x:v>
      </x:c>
      <x:c r="I110" t="n">
        <x:v>3</x:v>
      </x:c>
      <x:c r="J110" t="n">
        <x:v>0</x:v>
      </x:c>
      <x:c r="K110" t="n">
        <x:v>0</x:v>
      </x:c>
      <x:c r="L110" t="n">
        <x:v>0</x:v>
      </x:c>
      <x:c r="M110" t="n">
        <x:v>52</x:v>
      </x:c>
      <x:c r="N110" t="n">
        <x:v>0</x:v>
      </x:c>
      <x:c r="O110" t="n">
        <x:v>0</x:v>
      </x:c>
      <x:c r="P110" t="n">
        <x:v>1</x:v>
      </x:c>
      <x:c r="Q110" t="n">
        <x:v>1</x:v>
      </x:c>
      <x:c r="R110" s="89" t="n">
        <x:f>IFERROR(F110/E110,0)</x:f>
        <x:v>0.9375</x:v>
      </x:c>
      <x:c r="S110" s="89" t="n">
        <x:f>IFERROR(G110/F110,0)</x:f>
        <x:v>1</x:v>
      </x:c>
      <x:c r="T110" s="89" t="n">
        <x:f>IFERROR((H110+2*I110+3*J110+4*K110+5*L110)/(5*M110),0)</x:f>
        <x:v>0.07692307692307693</x:v>
      </x:c>
      <x:c r="U110" t="n">
        <x:f>SUM(O110:Q110)</x:f>
        <x:v>2</x:v>
      </x:c>
      <x:c r="V110" s="89" t="n">
        <x:f>0.3*S110+0.3*R110+0.3*(1-T110)-0.1*N110</x:f>
        <x:v>0.858173076923077</x:v>
      </x:c>
    </x:row>
    <x:row r="111">
      <x:c r="A111" t="n">
        <x:v>55</x:v>
      </x:c>
      <x:c r="B111" t="str">
        <x:v>Rice Cooker</x:v>
      </x:c>
      <x:c r="C111" t="str">
        <x:v>A</x:v>
      </x:c>
      <x:c r="D111" t="str">
        <x:v>Publisher A (blinded)</x:v>
      </x:c>
      <x:c r="E111" t="n">
        <x:v>17</x:v>
      </x:c>
      <x:c r="F111" t="n">
        <x:v>16</x:v>
      </x:c>
      <x:c r="G111" t="n">
        <x:v>15</x:v>
      </x:c>
      <x:c r="H111" t="n">
        <x:v>13</x:v>
      </x:c>
      <x:c r="I111" t="n">
        <x:v>0</x:v>
      </x:c>
      <x:c r="J111" t="n">
        <x:v>3</x:v>
      </x:c>
      <x:c r="K111" t="n">
        <x:v>0</x:v>
      </x:c>
      <x:c r="L111" t="n">
        <x:v>0</x:v>
      </x:c>
      <x:c r="M111" t="n">
        <x:v>38</x:v>
      </x:c>
      <x:c r="N111" t="n">
        <x:v>0</x:v>
      </x:c>
      <x:c r="O111" t="n">
        <x:v>0</x:v>
      </x:c>
      <x:c r="P111" t="n">
        <x:v>1</x:v>
      </x:c>
      <x:c r="Q111" t="n">
        <x:v>1</x:v>
      </x:c>
      <x:c r="R111" s="89" t="n">
        <x:f>IFERROR(F111/E111,0)</x:f>
        <x:v>0.9411764705882353</x:v>
      </x:c>
      <x:c r="S111" s="89" t="n">
        <x:f>IFERROR(G111/F111,0)</x:f>
        <x:v>0.9375</x:v>
      </x:c>
      <x:c r="T111" s="89" t="n">
        <x:f>IFERROR((H111+2*I111+3*J111+4*K111+5*L111)/(5*M111),0)</x:f>
        <x:v>0.11578947368421053</x:v>
      </x:c>
      <x:c r="U111" t="n">
        <x:f>SUM(O111:Q111)</x:f>
        <x:v>2</x:v>
      </x:c>
      <x:c r="V111" s="89" t="n">
        <x:f>0.3*S111+0.3*R111+0.3*(1-T111)-0.1*N111</x:f>
        <x:v>0.8288660990712073</x:v>
      </x:c>
    </x:row>
    <x:row r="112">
      <x:c r="A112" t="n">
        <x:v>55</x:v>
      </x:c>
      <x:c r="B112" t="str">
        <x:v>Rice Cooker</x:v>
      </x:c>
      <x:c r="C112" t="str">
        <x:v>B</x:v>
      </x:c>
      <x:c r="D112" t="str">
        <x:v>Publisher B (blinded)</x:v>
      </x:c>
      <x:c r="E112" t="n">
        <x:v>17</x:v>
      </x:c>
      <x:c r="F112" t="n">
        <x:v>13</x:v>
      </x:c>
      <x:c r="G112" t="n">
        <x:v>13</x:v>
      </x:c>
      <x:c r="H112" t="n">
        <x:v>13</x:v>
      </x:c>
      <x:c r="I112" t="n">
        <x:v>4</x:v>
      </x:c>
      <x:c r="J112" t="n">
        <x:v>0</x:v>
      </x:c>
      <x:c r="K112" t="n">
        <x:v>0</x:v>
      </x:c>
      <x:c r="L112" t="n">
        <x:v>1</x:v>
      </x:c>
      <x:c r="M112" t="n">
        <x:v>36</x:v>
      </x:c>
      <x:c r="N112" t="n">
        <x:v>0</x:v>
      </x:c>
      <x:c r="O112" t="n">
        <x:v>0</x:v>
      </x:c>
      <x:c r="P112" t="n">
        <x:v>1</x:v>
      </x:c>
      <x:c r="Q112" t="n">
        <x:v>1</x:v>
      </x:c>
      <x:c r="R112" s="89" t="n">
        <x:f>IFERROR(F112/E112,0)</x:f>
        <x:v>0.7647058823529411</x:v>
      </x:c>
      <x:c r="S112" s="89" t="n">
        <x:f>IFERROR(G112/F112,0)</x:f>
        <x:v>1</x:v>
      </x:c>
      <x:c r="T112" s="89" t="n">
        <x:f>IFERROR((H112+2*I112+3*J112+4*K112+5*L112)/(5*M112),0)</x:f>
        <x:v>0.14444444444444443</x:v>
      </x:c>
      <x:c r="U112" t="n">
        <x:f>SUM(O112:Q112)</x:f>
        <x:v>2</x:v>
      </x:c>
      <x:c r="V112" s="89" t="n">
        <x:f>0.3*S112+0.3*R112+0.3*(1-T112)-0.1*N112</x:f>
        <x:v>0.7860784313725488</x:v>
      </x:c>
    </x:row>
    <x:row r="113">
      <x:c r="A113" t="n">
        <x:v>56</x:v>
      </x:c>
      <x:c r="B113" t="str">
        <x:v>Travel Backpack</x:v>
      </x:c>
      <x:c r="C113" t="str">
        <x:v>A</x:v>
      </x:c>
      <x:c r="D113" t="str">
        <x:v>Publisher A (blinded)</x:v>
      </x:c>
      <x:c r="E113" t="n">
        <x:v>16</x:v>
      </x:c>
      <x:c r="F113" t="n">
        <x:v>15</x:v>
      </x:c>
      <x:c r="G113" t="n">
        <x:v>13</x:v>
      </x:c>
      <x:c r="H113" t="n">
        <x:v>19</x:v>
      </x:c>
      <x:c r="I113" t="n">
        <x:v>0</x:v>
      </x:c>
      <x:c r="J113" t="n">
        <x:v>1</x:v>
      </x:c>
      <x:c r="K113" t="n">
        <x:v>1</x:v>
      </x:c>
      <x:c r="L113" t="n">
        <x:v>1</x:v>
      </x:c>
      <x:c r="M113" t="n">
        <x:v>44</x:v>
      </x:c>
      <x:c r="N113" t="n">
        <x:v>0</x:v>
      </x:c>
      <x:c r="O113" t="n">
        <x:v>0</x:v>
      </x:c>
      <x:c r="P113" t="n">
        <x:v>1</x:v>
      </x:c>
      <x:c r="Q113" t="n">
        <x:v>1</x:v>
      </x:c>
      <x:c r="R113" s="89" t="n">
        <x:f>IFERROR(F113/E113,0)</x:f>
        <x:v>0.9375</x:v>
      </x:c>
      <x:c r="S113" s="89" t="n">
        <x:f>IFERROR(G113/F113,0)</x:f>
        <x:v>0.8666666666666667</x:v>
      </x:c>
      <x:c r="T113" s="89" t="n">
        <x:f>IFERROR((H113+2*I113+3*J113+4*K113+5*L113)/(5*M113),0)</x:f>
        <x:v>0.1409090909090909</x:v>
      </x:c>
      <x:c r="U113" t="n">
        <x:f>SUM(O113:Q113)</x:f>
        <x:v>2</x:v>
      </x:c>
      <x:c r="V113" s="89" t="n">
        <x:f>0.3*S113+0.3*R113+0.3*(1-T113)-0.1*N113</x:f>
        <x:v>0.7989772727272728</x:v>
      </x:c>
    </x:row>
    <x:row r="114">
      <x:c r="A114" t="n">
        <x:v>56</x:v>
      </x:c>
      <x:c r="B114" t="str">
        <x:v>Travel Backpack</x:v>
      </x:c>
      <x:c r="C114" t="str">
        <x:v>B</x:v>
      </x:c>
      <x:c r="D114" t="str">
        <x:v>Publisher B (blinded)</x:v>
      </x:c>
      <x:c r="E114" t="n">
        <x:v>16</x:v>
      </x:c>
      <x:c r="F114" t="n">
        <x:v>9</x:v>
      </x:c>
      <x:c r="G114" t="n">
        <x:v>8</x:v>
      </x:c>
      <x:c r="H114" t="n">
        <x:v>1</x:v>
      </x:c>
      <x:c r="I114" t="n">
        <x:v>1</x:v>
      </x:c>
      <x:c r="J114" t="n">
        <x:v>0</x:v>
      </x:c>
      <x:c r="K114" t="n">
        <x:v>0</x:v>
      </x:c>
      <x:c r="L114" t="n">
        <x:v>0</x:v>
      </x:c>
      <x:c r="M114" t="n">
        <x:v>14</x:v>
      </x:c>
      <x:c r="N114" t="n">
        <x:v>0</x:v>
      </x:c>
      <x:c r="O114" t="n">
        <x:v>0</x:v>
      </x:c>
      <x:c r="P114" t="n">
        <x:v>1</x:v>
      </x:c>
      <x:c r="Q114" t="n">
        <x:v>1</x:v>
      </x:c>
      <x:c r="R114" s="89" t="n">
        <x:f>IFERROR(F114/E114,0)</x:f>
        <x:v>0.5625</x:v>
      </x:c>
      <x:c r="S114" s="89" t="n">
        <x:f>IFERROR(G114/F114,0)</x:f>
        <x:v>0.8888888888888888</x:v>
      </x:c>
      <x:c r="T114" s="89" t="n">
        <x:f>IFERROR((H114+2*I114+3*J114+4*K114+5*L114)/(5*M114),0)</x:f>
        <x:v>0.04285714285714286</x:v>
      </x:c>
      <x:c r="U114" t="n">
        <x:f>SUM(O114:Q114)</x:f>
        <x:v>2</x:v>
      </x:c>
      <x:c r="V114" s="89" t="n">
        <x:f>0.3*S114+0.3*R114+0.3*(1-T114)-0.1*N114</x:f>
        <x:v>0.7225595238095238</x:v>
      </x:c>
    </x:row>
    <x:row r="115">
      <x:c r="A115" t="n">
        <x:v>57</x:v>
      </x:c>
      <x:c r="B115" t="str">
        <x:v>Green Tea</x:v>
      </x:c>
      <x:c r="C115" t="str">
        <x:v>A</x:v>
      </x:c>
      <x:c r="D115" t="str">
        <x:v>Publisher A (blinded)</x:v>
      </x:c>
      <x:c r="E115" t="n">
        <x:v>16</x:v>
      </x:c>
      <x:c r="F115" t="n">
        <x:v>14</x:v>
      </x:c>
      <x:c r="G115" t="n">
        <x:v>14</x:v>
      </x:c>
      <x:c r="H115" t="n">
        <x:v>20</x:v>
      </x:c>
      <x:c r="I115" t="n">
        <x:v>2</x:v>
      </x:c>
      <x:c r="J115" t="n">
        <x:v>1</x:v>
      </x:c>
      <x:c r="K115" t="n">
        <x:v>0</x:v>
      </x:c>
      <x:c r="L115" t="n">
        <x:v>1</x:v>
      </x:c>
      <x:c r="M115" t="n">
        <x:v>57</x:v>
      </x:c>
      <x:c r="N115" t="n">
        <x:v>0</x:v>
      </x:c>
      <x:c r="O115" t="n">
        <x:v>0</x:v>
      </x:c>
      <x:c r="P115" t="n">
        <x:v>1</x:v>
      </x:c>
      <x:c r="Q115" t="n">
        <x:v>1</x:v>
      </x:c>
      <x:c r="R115" s="89" t="n">
        <x:f>IFERROR(F115/E115,0)</x:f>
        <x:v>0.875</x:v>
      </x:c>
      <x:c r="S115" s="89" t="n">
        <x:f>IFERROR(G115/F115,0)</x:f>
        <x:v>1</x:v>
      </x:c>
      <x:c r="T115" s="89" t="n">
        <x:f>IFERROR((H115+2*I115+3*J115+4*K115+5*L115)/(5*M115),0)</x:f>
        <x:v>0.11228070175438597</x:v>
      </x:c>
      <x:c r="U115" t="n">
        <x:f>SUM(O115:Q115)</x:f>
        <x:v>2</x:v>
      </x:c>
      <x:c r="V115" s="89" t="n">
        <x:f>0.3*S115+0.3*R115+0.3*(1-T115)-0.1*N115</x:f>
        <x:v>0.8288157894736842</x:v>
      </x:c>
    </x:row>
    <x:row r="116">
      <x:c r="A116" t="n">
        <x:v>57</x:v>
      </x:c>
      <x:c r="B116" t="str">
        <x:v>Green Tea</x:v>
      </x:c>
      <x:c r="C116" t="str">
        <x:v>B</x:v>
      </x:c>
      <x:c r="D116" t="str">
        <x:v>Publisher B (blinded)</x:v>
      </x:c>
      <x:c r="E116" t="n">
        <x:v>16</x:v>
      </x:c>
      <x:c r="F116" t="n">
        <x:v>14</x:v>
      </x:c>
      <x:c r="G116" t="n">
        <x:v>13</x:v>
      </x:c>
      <x:c r="H116" t="n">
        <x:v>16</x:v>
      </x:c>
      <x:c r="I116" t="n">
        <x:v>4</x:v>
      </x:c>
      <x:c r="J116" t="n">
        <x:v>1</x:v>
      </x:c>
      <x:c r="K116" t="n">
        <x:v>0</x:v>
      </x:c>
      <x:c r="L116" t="n">
        <x:v>0</x:v>
      </x:c>
      <x:c r="M116" t="n">
        <x:v>52</x:v>
      </x:c>
      <x:c r="N116" t="n">
        <x:v>0</x:v>
      </x:c>
      <x:c r="O116" t="n">
        <x:v>0</x:v>
      </x:c>
      <x:c r="P116" t="n">
        <x:v>1</x:v>
      </x:c>
      <x:c r="Q116" t="n">
        <x:v>1</x:v>
      </x:c>
      <x:c r="R116" s="89" t="n">
        <x:f>IFERROR(F116/E116,0)</x:f>
        <x:v>0.875</x:v>
      </x:c>
      <x:c r="S116" s="89" t="n">
        <x:f>IFERROR(G116/F116,0)</x:f>
        <x:v>0.9285714285714286</x:v>
      </x:c>
      <x:c r="T116" s="89" t="n">
        <x:f>IFERROR((H116+2*I116+3*J116+4*K116+5*L116)/(5*M116),0)</x:f>
        <x:v>0.10384615384615385</x:v>
      </x:c>
      <x:c r="U116" t="n">
        <x:f>SUM(O116:Q116)</x:f>
        <x:v>2</x:v>
      </x:c>
      <x:c r="V116" s="89" t="n">
        <x:f>0.3*S116+0.3*R116+0.3*(1-T116)-0.1*N116</x:f>
        <x:v>0.8099175824175825</x:v>
      </x:c>
    </x:row>
    <x:row r="117">
      <x:c r="A117" t="n">
        <x:v>58</x:v>
      </x:c>
      <x:c r="B117" t="str">
        <x:v>Camera Tripod</x:v>
      </x:c>
      <x:c r="C117" t="str">
        <x:v>A</x:v>
      </x:c>
      <x:c r="D117" t="str">
        <x:v>Publisher A (blinded)</x:v>
      </x:c>
      <x:c r="E117" t="n">
        <x:v>17</x:v>
      </x:c>
      <x:c r="F117" t="n">
        <x:v>12</x:v>
      </x:c>
      <x:c r="G117" t="n">
        <x:v>12</x:v>
      </x:c>
      <x:c r="H117" t="n">
        <x:v>14</x:v>
      </x:c>
      <x:c r="I117" t="n">
        <x:v>0</x:v>
      </x:c>
      <x:c r="J117" t="n">
        <x:v>1</x:v>
      </x:c>
      <x:c r="K117" t="n">
        <x:v>0</x:v>
      </x:c>
      <x:c r="L117" t="n">
        <x:v>0</x:v>
      </x:c>
      <x:c r="M117" t="n">
        <x:v>43</x:v>
      </x:c>
      <x:c r="N117" t="n">
        <x:v>0</x:v>
      </x:c>
      <x:c r="O117" t="n">
        <x:v>0</x:v>
      </x:c>
      <x:c r="P117" t="n">
        <x:v>1</x:v>
      </x:c>
      <x:c r="Q117" t="n">
        <x:v>1</x:v>
      </x:c>
      <x:c r="R117" s="89" t="n">
        <x:f>IFERROR(F117/E117,0)</x:f>
        <x:v>0.7058823529411765</x:v>
      </x:c>
      <x:c r="S117" s="89" t="n">
        <x:f>IFERROR(G117/F117,0)</x:f>
        <x:v>1</x:v>
      </x:c>
      <x:c r="T117" s="89" t="n">
        <x:f>IFERROR((H117+2*I117+3*J117+4*K117+5*L117)/(5*M117),0)</x:f>
        <x:v>0.07906976744186046</x:v>
      </x:c>
      <x:c r="U117" t="n">
        <x:f>SUM(O117:Q117)</x:f>
        <x:v>2</x:v>
      </x:c>
      <x:c r="V117" s="89" t="n">
        <x:f>0.3*S117+0.3*R117+0.3*(1-T117)-0.1*N117</x:f>
        <x:v>0.7880437756497948</x:v>
      </x:c>
    </x:row>
    <x:row r="118">
      <x:c r="A118" t="n">
        <x:v>58</x:v>
      </x:c>
      <x:c r="B118" t="str">
        <x:v>Camera Tripod</x:v>
      </x:c>
      <x:c r="C118" t="str">
        <x:v>B</x:v>
      </x:c>
      <x:c r="D118" t="str">
        <x:v>Publisher B (blinded)</x:v>
      </x:c>
      <x:c r="E118" t="n">
        <x:v>17</x:v>
      </x:c>
      <x:c r="F118" t="n">
        <x:v>15</x:v>
      </x:c>
      <x:c r="G118" t="n">
        <x:v>15</x:v>
      </x:c>
      <x:c r="H118" t="n">
        <x:v>20</x:v>
      </x:c>
      <x:c r="I118" t="n">
        <x:v>0</x:v>
      </x:c>
      <x:c r="J118" t="n">
        <x:v>1</x:v>
      </x:c>
      <x:c r="K118" t="n">
        <x:v>0</x:v>
      </x:c>
      <x:c r="L118" t="n">
        <x:v>0</x:v>
      </x:c>
      <x:c r="M118" t="n">
        <x:v>55</x:v>
      </x:c>
      <x:c r="N118" t="n">
        <x:v>0</x:v>
      </x:c>
      <x:c r="O118" t="n">
        <x:v>0</x:v>
      </x:c>
      <x:c r="P118" t="n">
        <x:v>1</x:v>
      </x:c>
      <x:c r="Q118" t="n">
        <x:v>1</x:v>
      </x:c>
      <x:c r="R118" s="89" t="n">
        <x:f>IFERROR(F118/E118,0)</x:f>
        <x:v>0.8823529411764706</x:v>
      </x:c>
      <x:c r="S118" s="89" t="n">
        <x:f>IFERROR(G118/F118,0)</x:f>
        <x:v>1</x:v>
      </x:c>
      <x:c r="T118" s="89" t="n">
        <x:f>IFERROR((H118+2*I118+3*J118+4*K118+5*L118)/(5*M118),0)</x:f>
        <x:v>0.08363636363636363</x:v>
      </x:c>
      <x:c r="U118" t="n">
        <x:f>SUM(O118:Q118)</x:f>
        <x:v>2</x:v>
      </x:c>
      <x:c r="V118" s="89" t="n">
        <x:f>0.3*S118+0.3*R118+0.3*(1-T118)-0.1*N118</x:f>
        <x:v>0.839614973262032</x:v>
      </x:c>
    </x:row>
    <x:row r="119">
      <x:c r="A119" t="n">
        <x:v>59</x:v>
      </x:c>
      <x:c r="B119" t="str">
        <x:v>Induction Cooktop</x:v>
      </x:c>
      <x:c r="C119" t="str">
        <x:v>A</x:v>
      </x:c>
      <x:c r="D119" t="str">
        <x:v>Publisher A (blinded)</x:v>
      </x:c>
      <x:c r="E119" t="n">
        <x:v>15</x:v>
      </x:c>
      <x:c r="F119" t="n">
        <x:v>15</x:v>
      </x:c>
      <x:c r="G119" t="n">
        <x:v>15</x:v>
      </x:c>
      <x:c r="H119" t="n">
        <x:v>12</x:v>
      </x:c>
      <x:c r="I119" t="n">
        <x:v>1</x:v>
      </x:c>
      <x:c r="J119" t="n">
        <x:v>1</x:v>
      </x:c>
      <x:c r="K119" t="n">
        <x:v>3</x:v>
      </x:c>
      <x:c r="L119" t="n">
        <x:v>2</x:v>
      </x:c>
      <x:c r="M119" t="n">
        <x:v>48</x:v>
      </x:c>
      <x:c r="N119" t="n">
        <x:v>0</x:v>
      </x:c>
      <x:c r="O119" t="n">
        <x:v>0</x:v>
      </x:c>
      <x:c r="P119" t="n">
        <x:v>1</x:v>
      </x:c>
      <x:c r="Q119" t="n">
        <x:v>0</x:v>
      </x:c>
      <x:c r="R119" s="89" t="n">
        <x:f>IFERROR(F119/E119,0)</x:f>
        <x:v>1</x:v>
      </x:c>
      <x:c r="S119" s="89" t="n">
        <x:f>IFERROR(G119/F119,0)</x:f>
        <x:v>1</x:v>
      </x:c>
      <x:c r="T119" s="89" t="n">
        <x:f>IFERROR((H119+2*I119+3*J119+4*K119+5*L119)/(5*M119),0)</x:f>
        <x:v>0.1625</x:v>
      </x:c>
      <x:c r="U119" t="n">
        <x:f>SUM(O119:Q119)</x:f>
        <x:v>1</x:v>
      </x:c>
      <x:c r="V119" s="89" t="n">
        <x:f>0.3*S119+0.3*R119+0.3*(1-T119)-0.1*N119</x:f>
        <x:v>0.85125</x:v>
      </x:c>
    </x:row>
    <x:row r="120">
      <x:c r="A120" t="n">
        <x:v>59</x:v>
      </x:c>
      <x:c r="B120" t="str">
        <x:v>Induction Cooktop</x:v>
      </x:c>
      <x:c r="C120" t="str">
        <x:v>B</x:v>
      </x:c>
      <x:c r="D120" t="str">
        <x:v>Publisher B (blinded)</x:v>
      </x:c>
      <x:c r="E120" t="n">
        <x:v>15</x:v>
      </x:c>
      <x:c r="F120" t="n">
        <x:v>15</x:v>
      </x:c>
      <x:c r="G120" t="n">
        <x:v>15</x:v>
      </x:c>
      <x:c r="H120" t="n">
        <x:v>15</x:v>
      </x:c>
      <x:c r="I120" t="n">
        <x:v>0</x:v>
      </x:c>
      <x:c r="J120" t="n">
        <x:v>0</x:v>
      </x:c>
      <x:c r="K120" t="n">
        <x:v>2</x:v>
      </x:c>
      <x:c r="L120" t="n">
        <x:v>4</x:v>
      </x:c>
      <x:c r="M120" t="n">
        <x:v>47</x:v>
      </x:c>
      <x:c r="N120" t="n">
        <x:v>0</x:v>
      </x:c>
      <x:c r="O120" t="n">
        <x:v>0</x:v>
      </x:c>
      <x:c r="P120" t="n">
        <x:v>1</x:v>
      </x:c>
      <x:c r="Q120" t="n">
        <x:v>0</x:v>
      </x:c>
      <x:c r="R120" s="89" t="n">
        <x:f>IFERROR(F120/E120,0)</x:f>
        <x:v>1</x:v>
      </x:c>
      <x:c r="S120" s="89" t="n">
        <x:f>IFERROR(G120/F120,0)</x:f>
        <x:v>1</x:v>
      </x:c>
      <x:c r="T120" s="89" t="n">
        <x:f>IFERROR((H120+2*I120+3*J120+4*K120+5*L120)/(5*M120),0)</x:f>
        <x:v>0.1829787234042553</x:v>
      </x:c>
      <x:c r="U120" t="n">
        <x:f>SUM(O120:Q120)</x:f>
        <x:v>1</x:v>
      </x:c>
      <x:c r="V120" s="89" t="n">
        <x:f>0.3*S120+0.3*R120+0.3*(1-T120)-0.1*N120</x:f>
        <x:v>0.8451063829787234</x:v>
      </x:c>
    </x:row>
    <x:row r="121">
      <x:c r="A121" t="n">
        <x:v>60</x:v>
      </x:c>
      <x:c r="B121" t="str">
        <x:v>Skincare Moisturizer</x:v>
      </x:c>
      <x:c r="C121" t="str">
        <x:v>A</x:v>
      </x:c>
      <x:c r="D121" t="str">
        <x:v>Publisher A (blinded)</x:v>
      </x:c>
      <x:c r="E121" t="n">
        <x:v>16</x:v>
      </x:c>
      <x:c r="F121" t="n">
        <x:v>14</x:v>
      </x:c>
      <x:c r="G121" t="n">
        <x:v>14</x:v>
      </x:c>
      <x:c r="H121" t="n">
        <x:v>20</x:v>
      </x:c>
      <x:c r="I121" t="n">
        <x:v>1</x:v>
      </x:c>
      <x:c r="J121" t="n">
        <x:v>4</x:v>
      </x:c>
      <x:c r="K121" t="n">
        <x:v>0</x:v>
      </x:c>
      <x:c r="L121" t="n">
        <x:v>6</x:v>
      </x:c>
      <x:c r="M121" t="n">
        <x:v>54</x:v>
      </x:c>
      <x:c r="N121" t="n">
        <x:v>0</x:v>
      </x:c>
      <x:c r="O121" t="n">
        <x:v>0</x:v>
      </x:c>
      <x:c r="P121" t="n">
        <x:v>1</x:v>
      </x:c>
      <x:c r="Q121" t="n">
        <x:v>1</x:v>
      </x:c>
      <x:c r="R121" s="89" t="n">
        <x:f>IFERROR(F121/E121,0)</x:f>
        <x:v>0.875</x:v>
      </x:c>
      <x:c r="S121" s="89" t="n">
        <x:f>IFERROR(G121/F121,0)</x:f>
        <x:v>1</x:v>
      </x:c>
      <x:c r="T121" s="89" t="n">
        <x:f>IFERROR((H121+2*I121+3*J121+4*K121+5*L121)/(5*M121),0)</x:f>
        <x:v>0.23703703703703705</x:v>
      </x:c>
      <x:c r="U121" t="n">
        <x:f>SUM(O121:Q121)</x:f>
        <x:v>2</x:v>
      </x:c>
      <x:c r="V121" s="89" t="n">
        <x:f>0.3*S121+0.3*R121+0.3*(1-T121)-0.1*N121</x:f>
        <x:v>0.7913888888888889</x:v>
      </x:c>
    </x:row>
    <x:row r="122">
      <x:c r="A122" t="n">
        <x:v>60</x:v>
      </x:c>
      <x:c r="B122" t="str">
        <x:v>Skincare Moisturizer</x:v>
      </x:c>
      <x:c r="C122" t="str">
        <x:v>B</x:v>
      </x:c>
      <x:c r="D122" t="str">
        <x:v>Publisher B (blinded)</x:v>
      </x:c>
      <x:c r="E122" t="n">
        <x:v>16</x:v>
      </x:c>
      <x:c r="F122" t="n">
        <x:v>16</x:v>
      </x:c>
      <x:c r="G122" t="n">
        <x:v>15</x:v>
      </x:c>
      <x:c r="H122" t="n">
        <x:v>18</x:v>
      </x:c>
      <x:c r="I122" t="n">
        <x:v>1</x:v>
      </x:c>
      <x:c r="J122" t="n">
        <x:v>3</x:v>
      </x:c>
      <x:c r="K122" t="n">
        <x:v>1</x:v>
      </x:c>
      <x:c r="L122" t="n">
        <x:v>11</x:v>
      </x:c>
      <x:c r="M122" t="n">
        <x:v>79</x:v>
      </x:c>
      <x:c r="N122" t="n">
        <x:v>0</x:v>
      </x:c>
      <x:c r="O122" t="n">
        <x:v>0</x:v>
      </x:c>
      <x:c r="P122" t="n">
        <x:v>1</x:v>
      </x:c>
      <x:c r="Q122" t="n">
        <x:v>0</x:v>
      </x:c>
      <x:c r="R122" s="89" t="n">
        <x:f>IFERROR(F122/E122,0)</x:f>
        <x:v>1</x:v>
      </x:c>
      <x:c r="S122" s="89" t="n">
        <x:f>IFERROR(G122/F122,0)</x:f>
        <x:v>0.9375</x:v>
      </x:c>
      <x:c r="T122" s="89" t="n">
        <x:f>IFERROR((H122+2*I122+3*J122+4*K122+5*L122)/(5*M122),0)</x:f>
        <x:v>0.22278481012658227</x:v>
      </x:c>
      <x:c r="U122" t="n">
        <x:f>SUM(O122:Q122)</x:f>
        <x:v>1</x:v>
      </x:c>
      <x:c r="V122" s="89" t="n">
        <x:f>0.3*S122+0.3*R122+0.3*(1-T122)-0.1*N122</x:f>
        <x:v>0.8144145569620254</x:v>
      </x:c>
    </x:row>
    <x:row r="123">
      <x:c r="A123" t="n">
        <x:v>61</x:v>
      </x:c>
      <x:c r="B123" t="str">
        <x:v>Electric Vehicles</x:v>
      </x:c>
      <x:c r="C123" t="str">
        <x:v>A</x:v>
      </x:c>
      <x:c r="D123" t="str">
        <x:v>Publisher A (blinded)</x:v>
      </x:c>
      <x:c r="E123" t="n">
        <x:v>16</x:v>
      </x:c>
      <x:c r="F123" t="n">
        <x:v>16</x:v>
      </x:c>
      <x:c r="G123" t="n">
        <x:v>16</x:v>
      </x:c>
      <x:c r="H123" t="n">
        <x:v>16</x:v>
      </x:c>
      <x:c r="I123" t="n">
        <x:v>0</x:v>
      </x:c>
      <x:c r="J123" t="n">
        <x:v>2</x:v>
      </x:c>
      <x:c r="K123" t="n">
        <x:v>2</x:v>
      </x:c>
      <x:c r="L123" t="n">
        <x:v>1</x:v>
      </x:c>
      <x:c r="M123" t="n">
        <x:v>48</x:v>
      </x:c>
      <x:c r="N123" t="n">
        <x:v>0</x:v>
      </x:c>
      <x:c r="O123" t="n">
        <x:v>0</x:v>
      </x:c>
      <x:c r="P123" t="n">
        <x:v>1</x:v>
      </x:c>
      <x:c r="Q123" t="n">
        <x:v>0</x:v>
      </x:c>
      <x:c r="R123" s="89" t="n">
        <x:f>IFERROR(F123/E123,0)</x:f>
        <x:v>1</x:v>
      </x:c>
      <x:c r="S123" s="89" t="n">
        <x:f>IFERROR(G123/F123,0)</x:f>
        <x:v>1</x:v>
      </x:c>
      <x:c r="T123" s="89" t="n">
        <x:f>IFERROR((H123+2*I123+3*J123+4*K123+5*L123)/(5*M123),0)</x:f>
        <x:v>0.14583333333333334</x:v>
      </x:c>
      <x:c r="U123" t="n">
        <x:f>SUM(O123:Q123)</x:f>
        <x:v>1</x:v>
      </x:c>
      <x:c r="V123" s="89" t="n">
        <x:f>0.3*S123+0.3*R123+0.3*(1-T123)-0.1*N123</x:f>
        <x:v>0.85625</x:v>
      </x:c>
    </x:row>
    <x:row r="124">
      <x:c r="A124" t="n">
        <x:v>61</x:v>
      </x:c>
      <x:c r="B124" t="str">
        <x:v>Electric Vehicles</x:v>
      </x:c>
      <x:c r="C124" t="str">
        <x:v>B</x:v>
      </x:c>
      <x:c r="D124" t="str">
        <x:v>Publisher B (blinded)</x:v>
      </x:c>
      <x:c r="E124" t="n">
        <x:v>16</x:v>
      </x:c>
      <x:c r="F124" t="n">
        <x:v>16</x:v>
      </x:c>
      <x:c r="G124" t="n">
        <x:v>16</x:v>
      </x:c>
      <x:c r="H124" t="n">
        <x:v>13</x:v>
      </x:c>
      <x:c r="I124" t="n">
        <x:v>1</x:v>
      </x:c>
      <x:c r="J124" t="n">
        <x:v>1</x:v>
      </x:c>
      <x:c r="K124" t="n">
        <x:v>0</x:v>
      </x:c>
      <x:c r="L124" t="n">
        <x:v>0</x:v>
      </x:c>
      <x:c r="M124" t="n">
        <x:v>45</x:v>
      </x:c>
      <x:c r="N124" t="n">
        <x:v>0</x:v>
      </x:c>
      <x:c r="O124" t="n">
        <x:v>0</x:v>
      </x:c>
      <x:c r="P124" t="n">
        <x:v>1</x:v>
      </x:c>
      <x:c r="Q124" t="n">
        <x:v>0</x:v>
      </x:c>
      <x:c r="R124" s="89" t="n">
        <x:f>IFERROR(F124/E124,0)</x:f>
        <x:v>1</x:v>
      </x:c>
      <x:c r="S124" s="89" t="n">
        <x:f>IFERROR(G124/F124,0)</x:f>
        <x:v>1</x:v>
      </x:c>
      <x:c r="T124" s="89" t="n">
        <x:f>IFERROR((H124+2*I124+3*J124+4*K124+5*L124)/(5*M124),0)</x:f>
        <x:v>0.08</x:v>
      </x:c>
      <x:c r="U124" t="n">
        <x:f>SUM(O124:Q124)</x:f>
        <x:v>1</x:v>
      </x:c>
      <x:c r="V124" s="89" t="n">
        <x:f>0.3*S124+0.3*R124+0.3*(1-T124)-0.1*N124</x:f>
        <x:v>0.876</x:v>
      </x:c>
    </x:row>
    <x:row r="125">
      <x:c r="A125" t="n">
        <x:v>62</x:v>
      </x:c>
      <x:c r="B125" t="str">
        <x:v>Home Internet</x:v>
      </x:c>
      <x:c r="C125" t="str">
        <x:v>A</x:v>
      </x:c>
      <x:c r="D125" t="str">
        <x:v>Publisher A (blinded)</x:v>
      </x:c>
      <x:c r="E125" t="n">
        <x:v>16</x:v>
      </x:c>
      <x:c r="F125" t="n">
        <x:v>15</x:v>
      </x:c>
      <x:c r="G125" t="n">
        <x:v>15</x:v>
      </x:c>
      <x:c r="H125" t="n">
        <x:v>5</x:v>
      </x:c>
      <x:c r="I125" t="n">
        <x:v>3</x:v>
      </x:c>
      <x:c r="J125" t="n">
        <x:v>1</x:v>
      </x:c>
      <x:c r="K125" t="n">
        <x:v>1</x:v>
      </x:c>
      <x:c r="L125" t="n">
        <x:v>0</x:v>
      </x:c>
      <x:c r="M125" t="n">
        <x:v>36</x:v>
      </x:c>
      <x:c r="N125" t="n">
        <x:v>0</x:v>
      </x:c>
      <x:c r="O125" t="n">
        <x:v>0</x:v>
      </x:c>
      <x:c r="P125" t="n">
        <x:v>1</x:v>
      </x:c>
      <x:c r="Q125" t="n">
        <x:v>1</x:v>
      </x:c>
      <x:c r="R125" s="89" t="n">
        <x:f>IFERROR(F125/E125,0)</x:f>
        <x:v>0.9375</x:v>
      </x:c>
      <x:c r="S125" s="89" t="n">
        <x:f>IFERROR(G125/F125,0)</x:f>
        <x:v>1</x:v>
      </x:c>
      <x:c r="T125" s="89" t="n">
        <x:f>IFERROR((H125+2*I125+3*J125+4*K125+5*L125)/(5*M125),0)</x:f>
        <x:v>0.1</x:v>
      </x:c>
      <x:c r="U125" t="n">
        <x:f>SUM(O125:Q125)</x:f>
        <x:v>2</x:v>
      </x:c>
      <x:c r="V125" s="89" t="n">
        <x:f>0.3*S125+0.3*R125+0.3*(1-T125)-0.1*N125</x:f>
        <x:v>0.8512500000000001</x:v>
      </x:c>
    </x:row>
    <x:row r="126">
      <x:c r="A126" t="n">
        <x:v>62</x:v>
      </x:c>
      <x:c r="B126" t="str">
        <x:v>Home Internet</x:v>
      </x:c>
      <x:c r="C126" t="str">
        <x:v>B</x:v>
      </x:c>
      <x:c r="D126" t="str">
        <x:v>Publisher B (blinded)</x:v>
      </x:c>
      <x:c r="E126" t="n">
        <x:v>16</x:v>
      </x:c>
      <x:c r="F126" t="n">
        <x:v>15</x:v>
      </x:c>
      <x:c r="G126" t="n">
        <x:v>14</x:v>
      </x:c>
      <x:c r="H126" t="n">
        <x:v>13</x:v>
      </x:c>
      <x:c r="I126" t="n">
        <x:v>4</x:v>
      </x:c>
      <x:c r="J126" t="n">
        <x:v>0</x:v>
      </x:c>
      <x:c r="K126" t="n">
        <x:v>3</x:v>
      </x:c>
      <x:c r="L126" t="n">
        <x:v>0</x:v>
      </x:c>
      <x:c r="M126" t="n">
        <x:v>49</x:v>
      </x:c>
      <x:c r="N126" t="n">
        <x:v>0</x:v>
      </x:c>
      <x:c r="O126" t="n">
        <x:v>0</x:v>
      </x:c>
      <x:c r="P126" t="n">
        <x:v>1</x:v>
      </x:c>
      <x:c r="Q126" t="n">
        <x:v>1</x:v>
      </x:c>
      <x:c r="R126" s="89" t="n">
        <x:f>IFERROR(F126/E126,0)</x:f>
        <x:v>0.9375</x:v>
      </x:c>
      <x:c r="S126" s="89" t="n">
        <x:f>IFERROR(G126/F126,0)</x:f>
        <x:v>0.9333333333333333</x:v>
      </x:c>
      <x:c r="T126" s="89" t="n">
        <x:f>IFERROR((H126+2*I126+3*J126+4*K126+5*L126)/(5*M126),0)</x:f>
        <x:v>0.1346938775510204</x:v>
      </x:c>
      <x:c r="U126" t="n">
        <x:f>SUM(O126:Q126)</x:f>
        <x:v>2</x:v>
      </x:c>
      <x:c r="V126" s="89" t="n">
        <x:f>0.3*S126+0.3*R126+0.3*(1-T126)-0.1*N126</x:f>
        <x:v>0.8208418367346939</x:v>
      </x:c>
    </x:row>
    <x:row r="127">
      <x:c r="A127" t="n">
        <x:v>63</x:v>
      </x:c>
      <x:c r="B127" t="str">
        <x:v>DSLR Camera</x:v>
      </x:c>
      <x:c r="C127" t="str">
        <x:v>A</x:v>
      </x:c>
      <x:c r="D127" t="str">
        <x:v>Publisher A (blinded)</x:v>
      </x:c>
      <x:c r="E127" t="n">
        <x:v>17</x:v>
      </x:c>
      <x:c r="F127" t="n">
        <x:v>17</x:v>
      </x:c>
      <x:c r="G127" t="n">
        <x:v>17</x:v>
      </x:c>
      <x:c r="H127" t="n">
        <x:v>12</x:v>
      </x:c>
      <x:c r="I127" t="n">
        <x:v>3</x:v>
      </x:c>
      <x:c r="J127" t="n">
        <x:v>0</x:v>
      </x:c>
      <x:c r="K127" t="n">
        <x:v>2</x:v>
      </x:c>
      <x:c r="L127" t="n">
        <x:v>0</x:v>
      </x:c>
      <x:c r="M127" t="n">
        <x:v>59</x:v>
      </x:c>
      <x:c r="N127" t="n">
        <x:v>0</x:v>
      </x:c>
      <x:c r="O127" t="n">
        <x:v>0</x:v>
      </x:c>
      <x:c r="P127" t="n">
        <x:v>1</x:v>
      </x:c>
      <x:c r="Q127" t="n">
        <x:v>0</x:v>
      </x:c>
      <x:c r="R127" s="89" t="n">
        <x:f>IFERROR(F127/E127,0)</x:f>
        <x:v>1</x:v>
      </x:c>
      <x:c r="S127" s="89" t="n">
        <x:f>IFERROR(G127/F127,0)</x:f>
        <x:v>1</x:v>
      </x:c>
      <x:c r="T127" s="89" t="n">
        <x:f>IFERROR((H127+2*I127+3*J127+4*K127+5*L127)/(5*M127),0)</x:f>
        <x:v>0.08813559322033898</x:v>
      </x:c>
      <x:c r="U127" t="n">
        <x:f>SUM(O127:Q127)</x:f>
        <x:v>1</x:v>
      </x:c>
      <x:c r="V127" s="89" t="n">
        <x:f>0.3*S127+0.3*R127+0.3*(1-T127)-0.1*N127</x:f>
        <x:v>0.8735593220338983</x:v>
      </x:c>
    </x:row>
    <x:row r="128">
      <x:c r="A128" t="n">
        <x:v>63</x:v>
      </x:c>
      <x:c r="B128" t="str">
        <x:v>DSLR Camera</x:v>
      </x:c>
      <x:c r="C128" t="str">
        <x:v>B</x:v>
      </x:c>
      <x:c r="D128" t="str">
        <x:v>Publisher B (blinded)</x:v>
      </x:c>
      <x:c r="E128" t="n">
        <x:v>17</x:v>
      </x:c>
      <x:c r="F128" t="n">
        <x:v>17</x:v>
      </x:c>
      <x:c r="G128" t="n">
        <x:v>17</x:v>
      </x:c>
      <x:c r="H128" t="n">
        <x:v>10</x:v>
      </x:c>
      <x:c r="I128" t="n">
        <x:v>3</x:v>
      </x:c>
      <x:c r="J128" t="n">
        <x:v>1</x:v>
      </x:c>
      <x:c r="K128" t="n">
        <x:v>3</x:v>
      </x:c>
      <x:c r="L128" t="n">
        <x:v>0</x:v>
      </x:c>
      <x:c r="M128" t="n">
        <x:v>64</x:v>
      </x:c>
      <x:c r="N128" t="n">
        <x:v>0</x:v>
      </x:c>
      <x:c r="O128" t="n">
        <x:v>0</x:v>
      </x:c>
      <x:c r="P128" t="n">
        <x:v>1</x:v>
      </x:c>
      <x:c r="Q128" t="n">
        <x:v>0</x:v>
      </x:c>
      <x:c r="R128" s="89" t="n">
        <x:f>IFERROR(F128/E128,0)</x:f>
        <x:v>1</x:v>
      </x:c>
      <x:c r="S128" s="89" t="n">
        <x:f>IFERROR(G128/F128,0)</x:f>
        <x:v>1</x:v>
      </x:c>
      <x:c r="T128" s="89" t="n">
        <x:f>IFERROR((H128+2*I128+3*J128+4*K128+5*L128)/(5*M128),0)</x:f>
        <x:v>0.096875</x:v>
      </x:c>
      <x:c r="U128" t="n">
        <x:f>SUM(O128:Q128)</x:f>
        <x:v>1</x:v>
      </x:c>
      <x:c r="V128" s="89" t="n">
        <x:f>0.3*S128+0.3*R128+0.3*(1-T128)-0.1*N128</x:f>
        <x:v>0.8709374999999999</x:v>
      </x:c>
    </x:row>
    <x:row r="129">
      <x:c r="A129" t="n">
        <x:v>64</x:v>
      </x:c>
      <x:c r="B129" t="str">
        <x:v>Water Purifier</x:v>
      </x:c>
      <x:c r="C129" t="str">
        <x:v>A</x:v>
      </x:c>
      <x:c r="D129" t="str">
        <x:v>Publisher A (blinded)</x:v>
      </x:c>
      <x:c r="E129" t="n">
        <x:v>17</x:v>
      </x:c>
      <x:c r="F129" t="n">
        <x:v>17</x:v>
      </x:c>
      <x:c r="G129" t="n">
        <x:v>16</x:v>
      </x:c>
      <x:c r="H129" t="n">
        <x:v>15</x:v>
      </x:c>
      <x:c r="I129" t="n">
        <x:v>0</x:v>
      </x:c>
      <x:c r="J129" t="n">
        <x:v>1</x:v>
      </x:c>
      <x:c r="K129" t="n">
        <x:v>2</x:v>
      </x:c>
      <x:c r="L129" t="n">
        <x:v>2</x:v>
      </x:c>
      <x:c r="M129" t="n">
        <x:v>53</x:v>
      </x:c>
      <x:c r="N129" t="n">
        <x:v>0</x:v>
      </x:c>
      <x:c r="O129" t="n">
        <x:v>0</x:v>
      </x:c>
      <x:c r="P129" t="n">
        <x:v>1</x:v>
      </x:c>
      <x:c r="Q129" t="n">
        <x:v>0</x:v>
      </x:c>
      <x:c r="R129" s="89" t="n">
        <x:f>IFERROR(F129/E129,0)</x:f>
        <x:v>1</x:v>
      </x:c>
      <x:c r="S129" s="89" t="n">
        <x:f>IFERROR(G129/F129,0)</x:f>
        <x:v>0.9411764705882353</x:v>
      </x:c>
      <x:c r="T129" s="89" t="n">
        <x:f>IFERROR((H129+2*I129+3*J129+4*K129+5*L129)/(5*M129),0)</x:f>
        <x:v>0.13584905660377358</x:v>
      </x:c>
      <x:c r="U129" t="n">
        <x:f>SUM(O129:Q129)</x:f>
        <x:v>1</x:v>
      </x:c>
      <x:c r="V129" s="89" t="n">
        <x:f>0.3*S129+0.3*R129+0.3*(1-T129)-0.1*N129</x:f>
        <x:v>0.8415982241953384</x:v>
      </x:c>
    </x:row>
    <x:row r="130">
      <x:c r="A130" t="n">
        <x:v>64</x:v>
      </x:c>
      <x:c r="B130" t="str">
        <x:v>Water Purifier</x:v>
      </x:c>
      <x:c r="C130" t="str">
        <x:v>B</x:v>
      </x:c>
      <x:c r="D130" t="str">
        <x:v>Publisher B (blinded)</x:v>
      </x:c>
      <x:c r="E130" t="n">
        <x:v>17</x:v>
      </x:c>
      <x:c r="F130" t="n">
        <x:v>12</x:v>
      </x:c>
      <x:c r="G130" t="n">
        <x:v>11</x:v>
      </x:c>
      <x:c r="H130" t="n">
        <x:v>14</x:v>
      </x:c>
      <x:c r="I130" t="n">
        <x:v>1</x:v>
      </x:c>
      <x:c r="J130" t="n">
        <x:v>0</x:v>
      </x:c>
      <x:c r="K130" t="n">
        <x:v>5</x:v>
      </x:c>
      <x:c r="L130" t="n">
        <x:v>1</x:v>
      </x:c>
      <x:c r="M130" t="n">
        <x:v>41</x:v>
      </x:c>
      <x:c r="N130" t="n">
        <x:v>0</x:v>
      </x:c>
      <x:c r="O130" t="n">
        <x:v>0</x:v>
      </x:c>
      <x:c r="P130" t="n">
        <x:v>1</x:v>
      </x:c>
      <x:c r="Q130" t="n">
        <x:v>1</x:v>
      </x:c>
      <x:c r="R130" s="89" t="n">
        <x:f>IFERROR(F130/E130,0)</x:f>
        <x:v>0.7058823529411765</x:v>
      </x:c>
      <x:c r="S130" s="89" t="n">
        <x:f>IFERROR(G130/F130,0)</x:f>
        <x:v>0.9166666666666666</x:v>
      </x:c>
      <x:c r="T130" s="89" t="n">
        <x:f>IFERROR((H130+2*I130+3*J130+4*K130+5*L130)/(5*M130),0)</x:f>
        <x:v>0.2</x:v>
      </x:c>
      <x:c r="U130" t="n">
        <x:f>SUM(O130:Q130)</x:f>
        <x:v>2</x:v>
      </x:c>
      <x:c r="V130" s="89" t="n">
        <x:f>0.3*S130+0.3*R130+0.3*(1-T130)-0.1*N130</x:f>
        <x:v>0.7267647058823529</x:v>
      </x:c>
    </x:row>
    <x:row r="131">
      <x:c r="A131" t="n">
        <x:v>65</x:v>
      </x:c>
      <x:c r="B131" t="str">
        <x:v>Hiking Boots</x:v>
      </x:c>
      <x:c r="C131" t="str">
        <x:v>A</x:v>
      </x:c>
      <x:c r="D131" t="str">
        <x:v>Publisher A (blinded)</x:v>
      </x:c>
      <x:c r="E131" t="n">
        <x:v>16</x:v>
      </x:c>
      <x:c r="F131" t="n">
        <x:v>16</x:v>
      </x:c>
      <x:c r="G131" t="n">
        <x:v>15</x:v>
      </x:c>
      <x:c r="H131" t="n">
        <x:v>21</x:v>
      </x:c>
      <x:c r="I131" t="n">
        <x:v>1</x:v>
      </x:c>
      <x:c r="J131" t="n">
        <x:v>2</x:v>
      </x:c>
      <x:c r="K131" t="n">
        <x:v>0</x:v>
      </x:c>
      <x:c r="L131" t="n">
        <x:v>3</x:v>
      </x:c>
      <x:c r="M131" t="n">
        <x:v>53</x:v>
      </x:c>
      <x:c r="N131" t="n">
        <x:v>0</x:v>
      </x:c>
      <x:c r="O131" t="n">
        <x:v>0</x:v>
      </x:c>
      <x:c r="P131" t="n">
        <x:v>1</x:v>
      </x:c>
      <x:c r="Q131" t="n">
        <x:v>0</x:v>
      </x:c>
      <x:c r="R131" s="89" t="n">
        <x:f>IFERROR(F131/E131,0)</x:f>
        <x:v>1</x:v>
      </x:c>
      <x:c r="S131" s="89" t="n">
        <x:f>IFERROR(G131/F131,0)</x:f>
        <x:v>0.9375</x:v>
      </x:c>
      <x:c r="T131" s="89" t="n">
        <x:f>IFERROR((H131+2*I131+3*J131+4*K131+5*L131)/(5*M131),0)</x:f>
        <x:v>0.1660377358490566</x:v>
      </x:c>
      <x:c r="U131" t="n">
        <x:f>SUM(O131:Q131)</x:f>
        <x:v>1</x:v>
      </x:c>
      <x:c r="V131" s="89" t="n">
        <x:f>0.3*S131+0.3*R131+0.3*(1-T131)-0.1*N131</x:f>
        <x:v>0.831438679245283</x:v>
      </x:c>
    </x:row>
    <x:row r="132">
      <x:c r="A132" t="n">
        <x:v>65</x:v>
      </x:c>
      <x:c r="B132" t="str">
        <x:v>Hiking Boots</x:v>
      </x:c>
      <x:c r="C132" t="str">
        <x:v>B</x:v>
      </x:c>
      <x:c r="D132" t="str">
        <x:v>Publisher B (blinded)</x:v>
      </x:c>
      <x:c r="E132" t="n">
        <x:v>16</x:v>
      </x:c>
      <x:c r="F132" t="n">
        <x:v>14</x:v>
      </x:c>
      <x:c r="G132" t="n">
        <x:v>14</x:v>
      </x:c>
      <x:c r="H132" t="n">
        <x:v>17</x:v>
      </x:c>
      <x:c r="I132" t="n">
        <x:v>1</x:v>
      </x:c>
      <x:c r="J132" t="n">
        <x:v>2</x:v>
      </x:c>
      <x:c r="K132" t="n">
        <x:v>0</x:v>
      </x:c>
      <x:c r="L132" t="n">
        <x:v>1</x:v>
      </x:c>
      <x:c r="M132" t="n">
        <x:v>53</x:v>
      </x:c>
      <x:c r="N132" t="n">
        <x:v>0</x:v>
      </x:c>
      <x:c r="O132" t="n">
        <x:v>0</x:v>
      </x:c>
      <x:c r="P132" t="n">
        <x:v>1</x:v>
      </x:c>
      <x:c r="Q132" t="n">
        <x:v>1</x:v>
      </x:c>
      <x:c r="R132" s="89" t="n">
        <x:f>IFERROR(F132/E132,0)</x:f>
        <x:v>0.875</x:v>
      </x:c>
      <x:c r="S132" s="89" t="n">
        <x:f>IFERROR(G132/F132,0)</x:f>
        <x:v>1</x:v>
      </x:c>
      <x:c r="T132" s="89" t="n">
        <x:f>IFERROR((H132+2*I132+3*J132+4*K132+5*L132)/(5*M132),0)</x:f>
        <x:v>0.11320754716981132</x:v>
      </x:c>
      <x:c r="U132" t="n">
        <x:f>SUM(O132:Q132)</x:f>
        <x:v>2</x:v>
      </x:c>
      <x:c r="V132" s="89" t="n">
        <x:f>0.3*S132+0.3*R132+0.3*(1-T132)-0.1*N132</x:f>
        <x:v>0.8285377358490567</x:v>
      </x:c>
    </x:row>
    <x:row r="133">
      <x:c r="A133" t="n">
        <x:v>66</x:v>
      </x:c>
      <x:c r="B133" t="str">
        <x:v>Baby Stroller</x:v>
      </x:c>
      <x:c r="C133" t="str">
        <x:v>A</x:v>
      </x:c>
      <x:c r="D133" t="str">
        <x:v>Publisher A (blinded)</x:v>
      </x:c>
      <x:c r="E133" t="n">
        <x:v>18</x:v>
      </x:c>
      <x:c r="F133" t="n">
        <x:v>15</x:v>
      </x:c>
      <x:c r="G133" t="n">
        <x:v>14</x:v>
      </x:c>
      <x:c r="H133" t="n">
        <x:v>6</x:v>
      </x:c>
      <x:c r="I133" t="n">
        <x:v>1</x:v>
      </x:c>
      <x:c r="J133" t="n">
        <x:v>2</x:v>
      </x:c>
      <x:c r="K133" t="n">
        <x:v>0</x:v>
      </x:c>
      <x:c r="L133" t="n">
        <x:v>8</x:v>
      </x:c>
      <x:c r="M133" t="n">
        <x:v>38</x:v>
      </x:c>
      <x:c r="N133" t="n">
        <x:v>0</x:v>
      </x:c>
      <x:c r="O133" t="n">
        <x:v>0</x:v>
      </x:c>
      <x:c r="P133" t="n">
        <x:v>1</x:v>
      </x:c>
      <x:c r="Q133" t="n">
        <x:v>1</x:v>
      </x:c>
      <x:c r="R133" s="89" t="n">
        <x:f>IFERROR(F133/E133,0)</x:f>
        <x:v>0.8333333333333334</x:v>
      </x:c>
      <x:c r="S133" s="89" t="n">
        <x:f>IFERROR(G133/F133,0)</x:f>
        <x:v>0.9333333333333333</x:v>
      </x:c>
      <x:c r="T133" s="89" t="n">
        <x:f>IFERROR((H133+2*I133+3*J133+4*K133+5*L133)/(5*M133),0)</x:f>
        <x:v>0.28421052631578947</x:v>
      </x:c>
      <x:c r="U133" t="n">
        <x:f>SUM(O133:Q133)</x:f>
        <x:v>2</x:v>
      </x:c>
      <x:c r="V133" s="89" t="n">
        <x:f>0.3*S133+0.3*R133+0.3*(1-T133)-0.1*N133</x:f>
        <x:v>0.7447368421052631</x:v>
      </x:c>
    </x:row>
    <x:row r="134">
      <x:c r="A134" t="n">
        <x:v>66</x:v>
      </x:c>
      <x:c r="B134" t="str">
        <x:v>Baby Stroller</x:v>
      </x:c>
      <x:c r="C134" t="str">
        <x:v>B</x:v>
      </x:c>
      <x:c r="D134" t="str">
        <x:v>Publisher B (blinded)</x:v>
      </x:c>
      <x:c r="E134" t="n">
        <x:v>18</x:v>
      </x:c>
      <x:c r="F134" t="n">
        <x:v>16</x:v>
      </x:c>
      <x:c r="G134" t="n">
        <x:v>15</x:v>
      </x:c>
      <x:c r="H134" t="n">
        <x:v>3</x:v>
      </x:c>
      <x:c r="I134" t="n">
        <x:v>0</x:v>
      </x:c>
      <x:c r="J134" t="n">
        <x:v>0</x:v>
      </x:c>
      <x:c r="K134" t="n">
        <x:v>0</x:v>
      </x:c>
      <x:c r="L134" t="n">
        <x:v>6</x:v>
      </x:c>
      <x:c r="M134" t="n">
        <x:v>28</x:v>
      </x:c>
      <x:c r="N134" t="n">
        <x:v>0</x:v>
      </x:c>
      <x:c r="O134" t="n">
        <x:v>0</x:v>
      </x:c>
      <x:c r="P134" t="n">
        <x:v>1</x:v>
      </x:c>
      <x:c r="Q134" t="n">
        <x:v>1</x:v>
      </x:c>
      <x:c r="R134" s="89" t="n">
        <x:f>IFERROR(F134/E134,0)</x:f>
        <x:v>0.8888888888888888</x:v>
      </x:c>
      <x:c r="S134" s="89" t="n">
        <x:f>IFERROR(G134/F134,0)</x:f>
        <x:v>0.9375</x:v>
      </x:c>
      <x:c r="T134" s="89" t="n">
        <x:f>IFERROR((H134+2*I134+3*J134+4*K134+5*L134)/(5*M134),0)</x:f>
        <x:v>0.2357142857142857</x:v>
      </x:c>
      <x:c r="U134" t="n">
        <x:f>SUM(O134:Q134)</x:f>
        <x:v>2</x:v>
      </x:c>
      <x:c r="V134" s="89" t="n">
        <x:f>0.3*S134+0.3*R134+0.3*(1-T134)-0.1*N134</x:f>
        <x:v>0.7772023809523809</x:v>
      </x:c>
    </x:row>
    <x:row r="135">
      <x:c r="A135" t="n">
        <x:v>67</x:v>
      </x:c>
      <x:c r="B135" t="str">
        <x:v>Electric Scooter</x:v>
      </x:c>
      <x:c r="C135" t="str">
        <x:v>A</x:v>
      </x:c>
      <x:c r="D135" t="str">
        <x:v>Publisher A (blinded)</x:v>
      </x:c>
      <x:c r="E135" t="n">
        <x:v>17</x:v>
      </x:c>
      <x:c r="F135" t="n">
        <x:v>16</x:v>
      </x:c>
      <x:c r="G135" t="n">
        <x:v>16</x:v>
      </x:c>
      <x:c r="H135" t="n">
        <x:v>17</x:v>
      </x:c>
      <x:c r="I135" t="n">
        <x:v>3</x:v>
      </x:c>
      <x:c r="J135" t="n">
        <x:v>1</x:v>
      </x:c>
      <x:c r="K135" t="n">
        <x:v>1</x:v>
      </x:c>
      <x:c r="L135" t="n">
        <x:v>4</x:v>
      </x:c>
      <x:c r="M135" t="n">
        <x:v>65</x:v>
      </x:c>
      <x:c r="N135" t="n">
        <x:v>0</x:v>
      </x:c>
      <x:c r="O135" t="n">
        <x:v>0</x:v>
      </x:c>
      <x:c r="P135" t="n">
        <x:v>1</x:v>
      </x:c>
      <x:c r="Q135" t="n">
        <x:v>1</x:v>
      </x:c>
      <x:c r="R135" s="89" t="n">
        <x:f>IFERROR(F135/E135,0)</x:f>
        <x:v>0.9411764705882353</x:v>
      </x:c>
      <x:c r="S135" s="89" t="n">
        <x:f>IFERROR(G135/F135,0)</x:f>
        <x:v>1</x:v>
      </x:c>
      <x:c r="T135" s="89" t="n">
        <x:f>IFERROR((H135+2*I135+3*J135+4*K135+5*L135)/(5*M135),0)</x:f>
        <x:v>0.15384615384615385</x:v>
      </x:c>
      <x:c r="U135" t="n">
        <x:f>SUM(O135:Q135)</x:f>
        <x:v>2</x:v>
      </x:c>
      <x:c r="V135" s="89" t="n">
        <x:f>0.3*S135+0.3*R135+0.3*(1-T135)-0.1*N135</x:f>
        <x:v>0.8361990950226244</x:v>
      </x:c>
    </x:row>
    <x:row r="136">
      <x:c r="A136" t="n">
        <x:v>67</x:v>
      </x:c>
      <x:c r="B136" t="str">
        <x:v>Electric Scooter</x:v>
      </x:c>
      <x:c r="C136" t="str">
        <x:v>B</x:v>
      </x:c>
      <x:c r="D136" t="str">
        <x:v>Publisher B (blinded)</x:v>
      </x:c>
      <x:c r="E136" t="n">
        <x:v>17</x:v>
      </x:c>
      <x:c r="F136" t="n">
        <x:v>17</x:v>
      </x:c>
      <x:c r="G136" t="n">
        <x:v>16</x:v>
      </x:c>
      <x:c r="H136" t="n">
        <x:v>17</x:v>
      </x:c>
      <x:c r="I136" t="n">
        <x:v>3</x:v>
      </x:c>
      <x:c r="J136" t="n">
        <x:v>1</x:v>
      </x:c>
      <x:c r="K136" t="n">
        <x:v>0</x:v>
      </x:c>
      <x:c r="L136" t="n">
        <x:v>1</x:v>
      </x:c>
      <x:c r="M136" t="n">
        <x:v>57</x:v>
      </x:c>
      <x:c r="N136" t="n">
        <x:v>0</x:v>
      </x:c>
      <x:c r="O136" t="n">
        <x:v>0</x:v>
      </x:c>
      <x:c r="P136" t="n">
        <x:v>1</x:v>
      </x:c>
      <x:c r="Q136" t="n">
        <x:v>0</x:v>
      </x:c>
      <x:c r="R136" s="89" t="n">
        <x:f>IFERROR(F136/E136,0)</x:f>
        <x:v>1</x:v>
      </x:c>
      <x:c r="S136" s="89" t="n">
        <x:f>IFERROR(G136/F136,0)</x:f>
        <x:v>0.9411764705882353</x:v>
      </x:c>
      <x:c r="T136" s="89" t="n">
        <x:f>IFERROR((H136+2*I136+3*J136+4*K136+5*L136)/(5*M136),0)</x:f>
        <x:v>0.10877192982456141</x:v>
      </x:c>
      <x:c r="U136" t="n">
        <x:f>SUM(O136:Q136)</x:f>
        <x:v>1</x:v>
      </x:c>
      <x:c r="V136" s="89" t="n">
        <x:f>0.3*S136+0.3*R136+0.3*(1-T136)-0.1*N136</x:f>
        <x:v>0.8497213622291021</x:v>
      </x:c>
    </x:row>
    <x:row r="137">
      <x:c r="A137" t="n">
        <x:v>68</x:v>
      </x:c>
      <x:c r="B137" t="str">
        <x:v>Desktop Monitor</x:v>
      </x:c>
      <x:c r="C137" t="str">
        <x:v>A</x:v>
      </x:c>
      <x:c r="D137" t="str">
        <x:v>Publisher A (blinded)</x:v>
      </x:c>
      <x:c r="E137" t="n">
        <x:v>18</x:v>
      </x:c>
      <x:c r="F137" t="n">
        <x:v>16</x:v>
      </x:c>
      <x:c r="G137" t="n">
        <x:v>16</x:v>
      </x:c>
      <x:c r="H137" t="n">
        <x:v>8</x:v>
      </x:c>
      <x:c r="I137" t="n">
        <x:v>0</x:v>
      </x:c>
      <x:c r="J137" t="n">
        <x:v>1</x:v>
      </x:c>
      <x:c r="K137" t="n">
        <x:v>0</x:v>
      </x:c>
      <x:c r="L137" t="n">
        <x:v>0</x:v>
      </x:c>
      <x:c r="M137" t="n">
        <x:v>38</x:v>
      </x:c>
      <x:c r="N137" t="n">
        <x:v>0</x:v>
      </x:c>
      <x:c r="O137" t="n">
        <x:v>0</x:v>
      </x:c>
      <x:c r="P137" t="n">
        <x:v>1</x:v>
      </x:c>
      <x:c r="Q137" t="n">
        <x:v>1</x:v>
      </x:c>
      <x:c r="R137" s="89" t="n">
        <x:f>IFERROR(F137/E137,0)</x:f>
        <x:v>0.8888888888888888</x:v>
      </x:c>
      <x:c r="S137" s="89" t="n">
        <x:f>IFERROR(G137/F137,0)</x:f>
        <x:v>1</x:v>
      </x:c>
      <x:c r="T137" s="89" t="n">
        <x:f>IFERROR((H137+2*I137+3*J137+4*K137+5*L137)/(5*M137),0)</x:f>
        <x:v>0.05789473684210526</x:v>
      </x:c>
      <x:c r="U137" t="n">
        <x:f>SUM(O137:Q137)</x:f>
        <x:v>2</x:v>
      </x:c>
      <x:c r="V137" s="89" t="n">
        <x:f>0.3*S137+0.3*R137+0.3*(1-T137)-0.1*N137</x:f>
        <x:v>0.849298245614035</x:v>
      </x:c>
    </x:row>
    <x:row r="138">
      <x:c r="A138" t="n">
        <x:v>68</x:v>
      </x:c>
      <x:c r="B138" t="str">
        <x:v>Desktop Monitor</x:v>
      </x:c>
      <x:c r="C138" t="str">
        <x:v>B</x:v>
      </x:c>
      <x:c r="D138" t="str">
        <x:v>Publisher B (blinded)</x:v>
      </x:c>
      <x:c r="E138" t="n">
        <x:v>18</x:v>
      </x:c>
      <x:c r="F138" t="n">
        <x:v>16</x:v>
      </x:c>
      <x:c r="G138" t="n">
        <x:v>16</x:v>
      </x:c>
      <x:c r="H138" t="n">
        <x:v>20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50</x:v>
      </x:c>
      <x:c r="N138" t="n">
        <x:v>0</x:v>
      </x:c>
      <x:c r="O138" t="n">
        <x:v>0</x:v>
      </x:c>
      <x:c r="P138" t="n">
        <x:v>1</x:v>
      </x:c>
      <x:c r="Q138" t="n">
        <x:v>1</x:v>
      </x:c>
      <x:c r="R138" s="89" t="n">
        <x:f>IFERROR(F138/E138,0)</x:f>
        <x:v>0.8888888888888888</x:v>
      </x:c>
      <x:c r="S138" s="89" t="n">
        <x:f>IFERROR(G138/F138,0)</x:f>
        <x:v>1</x:v>
      </x:c>
      <x:c r="T138" s="89" t="n">
        <x:f>IFERROR((H138+2*I138+3*J138+4*K138+5*L138)/(5*M138),0)</x:f>
        <x:v>0.08</x:v>
      </x:c>
      <x:c r="U138" t="n">
        <x:f>SUM(O138:Q138)</x:f>
        <x:v>2</x:v>
      </x:c>
      <x:c r="V138" s="89" t="n">
        <x:f>0.3*S138+0.3*R138+0.3*(1-T138)-0.1*N138</x:f>
        <x:v>0.8426666666666667</x:v>
      </x:c>
    </x:row>
    <x:row r="139">
      <x:c r="A139" t="n">
        <x:v>69</x:v>
      </x:c>
      <x:c r="B139" t="str">
        <x:v>Home Solar Panels</x:v>
      </x:c>
      <x:c r="C139" t="str">
        <x:v>A</x:v>
      </x:c>
      <x:c r="D139" t="str">
        <x:v>Publisher A (blinded)</x:v>
      </x:c>
      <x:c r="E139" t="n">
        <x:v>14</x:v>
      </x:c>
      <x:c r="F139" t="n">
        <x:v>14</x:v>
      </x:c>
      <x:c r="G139" t="n">
        <x:v>14</x:v>
      </x:c>
      <x:c r="H139" t="n">
        <x:v>11</x:v>
      </x:c>
      <x:c r="I139" t="n">
        <x:v>2</x:v>
      </x:c>
      <x:c r="J139" t="n">
        <x:v>2</x:v>
      </x:c>
      <x:c r="K139" t="n">
        <x:v>2</x:v>
      </x:c>
      <x:c r="L139" t="n">
        <x:v>0</x:v>
      </x:c>
      <x:c r="M139" t="n">
        <x:v>50</x:v>
      </x:c>
      <x:c r="N139" t="n">
        <x:v>0</x:v>
      </x:c>
      <x:c r="O139" t="n">
        <x:v>0</x:v>
      </x:c>
      <x:c r="P139" t="n">
        <x:v>1</x:v>
      </x:c>
      <x:c r="Q139" t="n">
        <x:v>0</x:v>
      </x:c>
      <x:c r="R139" s="89" t="n">
        <x:f>IFERROR(F139/E139,0)</x:f>
        <x:v>1</x:v>
      </x:c>
      <x:c r="S139" s="89" t="n">
        <x:f>IFERROR(G139/F139,0)</x:f>
        <x:v>1</x:v>
      </x:c>
      <x:c r="T139" s="89" t="n">
        <x:f>IFERROR((H139+2*I139+3*J139+4*K139+5*L139)/(5*M139),0)</x:f>
        <x:v>0.116</x:v>
      </x:c>
      <x:c r="U139" t="n">
        <x:f>SUM(O139:Q139)</x:f>
        <x:v>1</x:v>
      </x:c>
      <x:c r="V139" s="89" t="n">
        <x:f>0.3*S139+0.3*R139+0.3*(1-T139)-0.1*N139</x:f>
        <x:v>0.8652</x:v>
      </x:c>
    </x:row>
    <x:row r="140">
      <x:c r="A140" t="n">
        <x:v>69</x:v>
      </x:c>
      <x:c r="B140" t="str">
        <x:v>Home Solar Panels</x:v>
      </x:c>
      <x:c r="C140" t="str">
        <x:v>B</x:v>
      </x:c>
      <x:c r="D140" t="str">
        <x:v>Publisher B (blinded)</x:v>
      </x:c>
      <x:c r="E140" t="n">
        <x:v>14</x:v>
      </x:c>
      <x:c r="F140" t="n">
        <x:v>13</x:v>
      </x:c>
      <x:c r="G140" t="n">
        <x:v>13</x:v>
      </x:c>
      <x:c r="H140" t="n">
        <x:v>17</x:v>
      </x:c>
      <x:c r="I140" t="n">
        <x:v>2</x:v>
      </x:c>
      <x:c r="J140" t="n">
        <x:v>3</x:v>
      </x:c>
      <x:c r="K140" t="n">
        <x:v>3</x:v>
      </x:c>
      <x:c r="L140" t="n">
        <x:v>1</x:v>
      </x:c>
      <x:c r="M140" t="n">
        <x:v>52</x:v>
      </x:c>
      <x:c r="N140" t="n">
        <x:v>0</x:v>
      </x:c>
      <x:c r="O140" t="n">
        <x:v>0</x:v>
      </x:c>
      <x:c r="P140" t="n">
        <x:v>1</x:v>
      </x:c>
      <x:c r="Q140" t="n">
        <x:v>1</x:v>
      </x:c>
      <x:c r="R140" s="89" t="n">
        <x:f>IFERROR(F140/E140,0)</x:f>
        <x:v>0.9285714285714286</x:v>
      </x:c>
      <x:c r="S140" s="89" t="n">
        <x:f>IFERROR(G140/F140,0)</x:f>
        <x:v>1</x:v>
      </x:c>
      <x:c r="T140" s="89" t="n">
        <x:f>IFERROR((H140+2*I140+3*J140+4*K140+5*L140)/(5*M140),0)</x:f>
        <x:v>0.18076923076923077</x:v>
      </x:c>
      <x:c r="U140" t="n">
        <x:f>SUM(O140:Q140)</x:f>
        <x:v>2</x:v>
      </x:c>
      <x:c r="V140" s="89" t="n">
        <x:f>0.3*S140+0.3*R140+0.3*(1-T140)-0.1*N140</x:f>
        <x:v>0.8243406593406593</x:v>
      </x:c>
    </x:row>
    <x:row r="141">
      <x:c r="A141" t="n">
        <x:v>70</x:v>
      </x:c>
      <x:c r="B141" t="str">
        <x:v>Air Conditioner</x:v>
      </x:c>
      <x:c r="C141" t="str">
        <x:v>A</x:v>
      </x:c>
      <x:c r="D141" t="str">
        <x:v>Publisher A (blinded)</x:v>
      </x:c>
      <x:c r="E141" t="n">
        <x:v>17</x:v>
      </x:c>
      <x:c r="F141" t="n">
        <x:v>15</x:v>
      </x:c>
      <x:c r="G141" t="n">
        <x:v>15</x:v>
      </x:c>
      <x:c r="H141" t="n">
        <x:v>15</x:v>
      </x:c>
      <x:c r="I141" t="n">
        <x:v>2</x:v>
      </x:c>
      <x:c r="J141" t="n">
        <x:v>1</x:v>
      </x:c>
      <x:c r="K141" t="n">
        <x:v>1</x:v>
      </x:c>
      <x:c r="L141" t="n">
        <x:v>0</x:v>
      </x:c>
      <x:c r="M141" t="n">
        <x:v>49</x:v>
      </x:c>
      <x:c r="N141" t="n">
        <x:v>0</x:v>
      </x:c>
      <x:c r="O141" t="n">
        <x:v>0</x:v>
      </x:c>
      <x:c r="P141" t="n">
        <x:v>1</x:v>
      </x:c>
      <x:c r="Q141" t="n">
        <x:v>1</x:v>
      </x:c>
      <x:c r="R141" s="89" t="n">
        <x:f>IFERROR(F141/E141,0)</x:f>
        <x:v>0.8823529411764706</x:v>
      </x:c>
      <x:c r="S141" s="89" t="n">
        <x:f>IFERROR(G141/F141,0)</x:f>
        <x:v>1</x:v>
      </x:c>
      <x:c r="T141" s="89" t="n">
        <x:f>IFERROR((H141+2*I141+3*J141+4*K141+5*L141)/(5*M141),0)</x:f>
        <x:v>0.10612244897959183</x:v>
      </x:c>
      <x:c r="U141" t="n">
        <x:f>SUM(O141:Q141)</x:f>
        <x:v>2</x:v>
      </x:c>
      <x:c r="V141" s="89" t="n">
        <x:f>0.3*S141+0.3*R141+0.3*(1-T141)-0.1*N141</x:f>
        <x:v>0.8328691476590636</x:v>
      </x:c>
    </x:row>
    <x:row r="142">
      <x:c r="A142" t="n">
        <x:v>70</x:v>
      </x:c>
      <x:c r="B142" t="str">
        <x:v>Air Conditioner</x:v>
      </x:c>
      <x:c r="C142" t="str">
        <x:v>B</x:v>
      </x:c>
      <x:c r="D142" t="str">
        <x:v>Publisher B (blinded)</x:v>
      </x:c>
      <x:c r="E142" t="n">
        <x:v>17</x:v>
      </x:c>
      <x:c r="F142" t="n">
        <x:v>16</x:v>
      </x:c>
      <x:c r="G142" t="n">
        <x:v>16</x:v>
      </x:c>
      <x:c r="H142" t="n">
        <x:v>16</x:v>
      </x:c>
      <x:c r="I142" t="n">
        <x:v>1</x:v>
      </x:c>
      <x:c r="J142" t="n">
        <x:v>0</x:v>
      </x:c>
      <x:c r="K142" t="n">
        <x:v>2</x:v>
      </x:c>
      <x:c r="L142" t="n">
        <x:v>1</x:v>
      </x:c>
      <x:c r="M142" t="n">
        <x:v>51</x:v>
      </x:c>
      <x:c r="N142" t="n">
        <x:v>0</x:v>
      </x:c>
      <x:c r="O142" t="n">
        <x:v>0</x:v>
      </x:c>
      <x:c r="P142" t="n">
        <x:v>1</x:v>
      </x:c>
      <x:c r="Q142" t="n">
        <x:v>1</x:v>
      </x:c>
      <x:c r="R142" s="89" t="n">
        <x:f>IFERROR(F142/E142,0)</x:f>
        <x:v>0.9411764705882353</x:v>
      </x:c>
      <x:c r="S142" s="89" t="n">
        <x:f>IFERROR(G142/F142,0)</x:f>
        <x:v>1</x:v>
      </x:c>
      <x:c r="T142" s="89" t="n">
        <x:f>IFERROR((H142+2*I142+3*J142+4*K142+5*L142)/(5*M142),0)</x:f>
        <x:v>0.12156862745098039</x:v>
      </x:c>
      <x:c r="U142" t="n">
        <x:f>SUM(O142:Q142)</x:f>
        <x:v>2</x:v>
      </x:c>
      <x:c r="V142" s="89" t="n">
        <x:f>0.3*S142+0.3*R142+0.3*(1-T142)-0.1*N142</x:f>
        <x:v>0.8458823529411763</x:v>
      </x:c>
    </x:row>
    <x:row r="143">
      <x:c r="A143" t="n">
        <x:v>71</x:v>
      </x:c>
      <x:c r="B143" t="str">
        <x:v>DSLR Lens</x:v>
      </x:c>
      <x:c r="C143" t="str">
        <x:v>A</x:v>
      </x:c>
      <x:c r="D143" t="str">
        <x:v>Publisher A (blinded)</x:v>
      </x:c>
      <x:c r="E143" t="n">
        <x:v>15</x:v>
      </x:c>
      <x:c r="F143" t="n">
        <x:v>14</x:v>
      </x:c>
      <x:c r="G143" t="n">
        <x:v>13</x:v>
      </x:c>
      <x:c r="H143" t="n">
        <x:v>9</x:v>
      </x:c>
      <x:c r="I143" t="n">
        <x:v>2</x:v>
      </x:c>
      <x:c r="J143" t="n">
        <x:v>0</x:v>
      </x:c>
      <x:c r="K143" t="n">
        <x:v>1</x:v>
      </x:c>
      <x:c r="L143" t="n">
        <x:v>0</x:v>
      </x:c>
      <x:c r="M143" t="n">
        <x:v>56</x:v>
      </x:c>
      <x:c r="N143" t="n">
        <x:v>1</x:v>
      </x:c>
      <x:c r="O143" t="n">
        <x:v>0</x:v>
      </x:c>
      <x:c r="P143" t="n">
        <x:v>1</x:v>
      </x:c>
      <x:c r="Q143" t="n">
        <x:v>1</x:v>
      </x:c>
      <x:c r="R143" s="89" t="n">
        <x:f>IFERROR(F143/E143,0)</x:f>
        <x:v>0.9333333333333333</x:v>
      </x:c>
      <x:c r="S143" s="89" t="n">
        <x:f>IFERROR(G143/F143,0)</x:f>
        <x:v>0.9285714285714286</x:v>
      </x:c>
      <x:c r="T143" s="89" t="n">
        <x:f>IFERROR((H143+2*I143+3*J143+4*K143+5*L143)/(5*M143),0)</x:f>
        <x:v>0.060714285714285714</x:v>
      </x:c>
      <x:c r="U143" t="n">
        <x:f>SUM(O143:Q143)</x:f>
        <x:v>2</x:v>
      </x:c>
      <x:c r="V143" s="89" t="n">
        <x:f>0.3*S143+0.3*R143+0.3*(1-T143)-0.1*N143</x:f>
        <x:v>0.7403571428571428</x:v>
      </x:c>
    </x:row>
    <x:row r="144">
      <x:c r="A144" t="n">
        <x:v>71</x:v>
      </x:c>
      <x:c r="B144" t="str">
        <x:v>DSLR Lens</x:v>
      </x:c>
      <x:c r="C144" t="str">
        <x:v>B</x:v>
      </x:c>
      <x:c r="D144" t="str">
        <x:v>Publisher B (blinded)</x:v>
      </x:c>
      <x:c r="E144" t="n">
        <x:v>15</x:v>
      </x:c>
      <x:c r="F144" t="n">
        <x:v>14</x:v>
      </x:c>
      <x:c r="G144" t="n">
        <x:v>13</x:v>
      </x:c>
      <x:c r="H144" t="n">
        <x:v>3</x:v>
      </x:c>
      <x:c r="I144" t="n">
        <x:v>2</x:v>
      </x:c>
      <x:c r="J144" t="n">
        <x:v>3</x:v>
      </x:c>
      <x:c r="K144" t="n">
        <x:v>2</x:v>
      </x:c>
      <x:c r="L144" t="n">
        <x:v>0</x:v>
      </x:c>
      <x:c r="M144" t="n">
        <x:v>51</x:v>
      </x:c>
      <x:c r="N144" t="n">
        <x:v>0</x:v>
      </x:c>
      <x:c r="O144" t="n">
        <x:v>0</x:v>
      </x:c>
      <x:c r="P144" t="n">
        <x:v>1</x:v>
      </x:c>
      <x:c r="Q144" t="n">
        <x:v>1</x:v>
      </x:c>
      <x:c r="R144" s="89" t="n">
        <x:f>IFERROR(F144/E144,0)</x:f>
        <x:v>0.9333333333333333</x:v>
      </x:c>
      <x:c r="S144" s="89" t="n">
        <x:f>IFERROR(G144/F144,0)</x:f>
        <x:v>0.9285714285714286</x:v>
      </x:c>
      <x:c r="T144" s="89" t="n">
        <x:f>IFERROR((H144+2*I144+3*J144+4*K144+5*L144)/(5*M144),0)</x:f>
        <x:v>0.09411764705882353</x:v>
      </x:c>
      <x:c r="U144" t="n">
        <x:f>SUM(O144:Q144)</x:f>
        <x:v>2</x:v>
      </x:c>
      <x:c r="V144" s="89" t="n">
        <x:f>0.3*S144+0.3*R144+0.3*(1-T144)-0.1*N144</x:f>
        <x:v>0.8303361344537814</x:v>
      </x:c>
    </x:row>
    <x:row r="145">
      <x:c r="A145" t="n">
        <x:v>72</x:v>
      </x:c>
      <x:c r="B145" t="str">
        <x:v>Electric Kettle</x:v>
      </x:c>
      <x:c r="C145" t="str">
        <x:v>A</x:v>
      </x:c>
      <x:c r="D145" t="str">
        <x:v>Publisher A (blinded)</x:v>
      </x:c>
      <x:c r="E145" t="n">
        <x:v>16</x:v>
      </x:c>
      <x:c r="F145" t="n">
        <x:v>13</x:v>
      </x:c>
      <x:c r="G145" t="n">
        <x:v>11</x:v>
      </x:c>
      <x:c r="H145" t="n">
        <x:v>2</x:v>
      </x:c>
      <x:c r="I145" t="n">
        <x:v>0</x:v>
      </x:c>
      <x:c r="J145" t="n">
        <x:v>4</x:v>
      </x:c>
      <x:c r="K145" t="n">
        <x:v>1</x:v>
      </x:c>
      <x:c r="L145" t="n">
        <x:v>0</x:v>
      </x:c>
      <x:c r="M145" t="n">
        <x:v>37</x:v>
      </x:c>
      <x:c r="N145" t="n">
        <x:v>1</x:v>
      </x:c>
      <x:c r="O145" t="n">
        <x:v>0</x:v>
      </x:c>
      <x:c r="P145" t="n">
        <x:v>1</x:v>
      </x:c>
      <x:c r="Q145" t="n">
        <x:v>1</x:v>
      </x:c>
      <x:c r="R145" s="89" t="n">
        <x:f>IFERROR(F145/E145,0)</x:f>
        <x:v>0.8125</x:v>
      </x:c>
      <x:c r="S145" s="89" t="n">
        <x:f>IFERROR(G145/F145,0)</x:f>
        <x:v>0.8461538461538461</x:v>
      </x:c>
      <x:c r="T145" s="89" t="n">
        <x:f>IFERROR((H145+2*I145+3*J145+4*K145+5*L145)/(5*M145),0)</x:f>
        <x:v>0.0972972972972973</x:v>
      </x:c>
      <x:c r="U145" t="n">
        <x:f>SUM(O145:Q145)</x:f>
        <x:v>2</x:v>
      </x:c>
      <x:c r="V145" s="89" t="n">
        <x:f>0.3*S145+0.3*R145+0.3*(1-T145)-0.1*N145</x:f>
        <x:v>0.6684069646569647</x:v>
      </x:c>
    </x:row>
    <x:row r="146">
      <x:c r="A146" t="n">
        <x:v>72</x:v>
      </x:c>
      <x:c r="B146" t="str">
        <x:v>Electric Kettle</x:v>
      </x:c>
      <x:c r="C146" t="str">
        <x:v>B</x:v>
      </x:c>
      <x:c r="D146" t="str">
        <x:v>Publisher B (blinded)</x:v>
      </x:c>
      <x:c r="E146" t="n">
        <x:v>16</x:v>
      </x:c>
      <x:c r="F146" t="n">
        <x:v>2</x:v>
      </x:c>
      <x:c r="G146" t="n">
        <x:v>2</x:v>
      </x:c>
      <x:c r="H146" t="n">
        <x:v>26</x:v>
      </x:c>
      <x:c r="I146" t="n">
        <x:v>2</x:v>
      </x:c>
      <x:c r="J146" t="n">
        <x:v>2</x:v>
      </x:c>
      <x:c r="K146" t="n">
        <x:v>5</x:v>
      </x:c>
      <x:c r="L146" t="n">
        <x:v>0</x:v>
      </x:c>
      <x:c r="M146" t="n">
        <x:v>55</x:v>
      </x:c>
      <x:c r="N146" t="n">
        <x:v>0</x:v>
      </x:c>
      <x:c r="O146" t="n">
        <x:v>0</x:v>
      </x:c>
      <x:c r="P146" t="n">
        <x:v>1</x:v>
      </x:c>
      <x:c r="Q146" t="n">
        <x:v>1</x:v>
      </x:c>
      <x:c r="R146" s="89" t="n">
        <x:f>IFERROR(F146/E146,0)</x:f>
        <x:v>0.125</x:v>
      </x:c>
      <x:c r="S146" s="89" t="n">
        <x:f>IFERROR(G146/F146,0)</x:f>
        <x:v>1</x:v>
      </x:c>
      <x:c r="T146" s="89" t="n">
        <x:f>IFERROR((H146+2*I146+3*J146+4*K146+5*L146)/(5*M146),0)</x:f>
        <x:v>0.20363636363636364</x:v>
      </x:c>
      <x:c r="U146" t="n">
        <x:f>SUM(O146:Q146)</x:f>
        <x:v>2</x:v>
      </x:c>
      <x:c r="V146" s="89" t="n">
        <x:f>0.3*S146+0.3*R146+0.3*(1-T146)-0.1*N146</x:f>
        <x:v>0.5764090909090909</x:v>
      </x:c>
    </x:row>
    <x:row r="147">
      <x:c r="A147" t="n">
        <x:v>73</x:v>
      </x:c>
      <x:c r="B147" t="str">
        <x:v>Mattress</x:v>
      </x:c>
      <x:c r="C147" t="str">
        <x:v>A</x:v>
      </x:c>
      <x:c r="D147" t="str">
        <x:v>Publisher A (blinded)</x:v>
      </x:c>
      <x:c r="E147" t="n">
        <x:v>17</x:v>
      </x:c>
      <x:c r="F147" t="n">
        <x:v>15</x:v>
      </x:c>
      <x:c r="G147" t="n">
        <x:v>13</x:v>
      </x:c>
      <x:c r="H147" t="n">
        <x:v>4</x:v>
      </x:c>
      <x:c r="I147" t="n">
        <x:v>0</x:v>
      </x:c>
      <x:c r="J147" t="n">
        <x:v>0</x:v>
      </x:c>
      <x:c r="K147" t="n">
        <x:v>2</x:v>
      </x:c>
      <x:c r="L147" t="n">
        <x:v>1</x:v>
      </x:c>
      <x:c r="M147" t="n">
        <x:v>55</x:v>
      </x:c>
      <x:c r="N147" t="n">
        <x:v>1</x:v>
      </x:c>
      <x:c r="O147" t="n">
        <x:v>0</x:v>
      </x:c>
      <x:c r="P147" t="n">
        <x:v>1</x:v>
      </x:c>
      <x:c r="Q147" t="n">
        <x:v>1</x:v>
      </x:c>
      <x:c r="R147" s="89" t="n">
        <x:f>IFERROR(F147/E147,0)</x:f>
        <x:v>0.8823529411764706</x:v>
      </x:c>
      <x:c r="S147" s="89" t="n">
        <x:f>IFERROR(G147/F147,0)</x:f>
        <x:v>0.8666666666666667</x:v>
      </x:c>
      <x:c r="T147" s="89" t="n">
        <x:f>IFERROR((H147+2*I147+3*J147+4*K147+5*L147)/(5*M147),0)</x:f>
        <x:v>0.06181818181818182</x:v>
      </x:c>
      <x:c r="U147" t="n">
        <x:f>SUM(O147:Q147)</x:f>
        <x:v>2</x:v>
      </x:c>
      <x:c r="V147" s="89" t="n">
        <x:f>0.3*S147+0.3*R147+0.3*(1-T147)-0.1*N147</x:f>
        <x:v>0.7061604278074866</x:v>
      </x:c>
    </x:row>
    <x:row r="148">
      <x:c r="A148" t="n">
        <x:v>73</x:v>
      </x:c>
      <x:c r="B148" t="str">
        <x:v>Mattress</x:v>
      </x:c>
      <x:c r="C148" t="str">
        <x:v>B</x:v>
      </x:c>
      <x:c r="D148" t="str">
        <x:v>Publisher B (blinded)</x:v>
      </x:c>
      <x:c r="E148" t="n">
        <x:v>17</x:v>
      </x:c>
      <x:c r="F148" t="n">
        <x:v>17</x:v>
      </x:c>
      <x:c r="G148" t="n">
        <x:v>15</x:v>
      </x:c>
      <x:c r="H148" t="n">
        <x:v>6</x:v>
      </x:c>
      <x:c r="I148" t="n">
        <x:v>0</x:v>
      </x:c>
      <x:c r="J148" t="n">
        <x:v>0</x:v>
      </x:c>
      <x:c r="K148" t="n">
        <x:v>0</x:v>
      </x:c>
      <x:c r="L148" t="n">
        <x:v>1</x:v>
      </x:c>
      <x:c r="M148" t="n">
        <x:v>41</x:v>
      </x:c>
      <x:c r="N148" t="n">
        <x:v>1</x:v>
      </x:c>
      <x:c r="O148" t="n">
        <x:v>0</x:v>
      </x:c>
      <x:c r="P148" t="n">
        <x:v>1</x:v>
      </x:c>
      <x:c r="Q148" t="n">
        <x:v>0</x:v>
      </x:c>
      <x:c r="R148" s="89" t="n">
        <x:f>IFERROR(F148/E148,0)</x:f>
        <x:v>1</x:v>
      </x:c>
      <x:c r="S148" s="89" t="n">
        <x:f>IFERROR(G148/F148,0)</x:f>
        <x:v>0.8823529411764706</x:v>
      </x:c>
      <x:c r="T148" s="89" t="n">
        <x:f>IFERROR((H148+2*I148+3*J148+4*K148+5*L148)/(5*M148),0)</x:f>
        <x:v>0.05365853658536585</x:v>
      </x:c>
      <x:c r="U148" t="n">
        <x:f>SUM(O148:Q148)</x:f>
        <x:v>1</x:v>
      </x:c>
      <x:c r="V148" s="89" t="n">
        <x:f>0.3*S148+0.3*R148+0.3*(1-T148)-0.1*N148</x:f>
        <x:v>0.7486083213773315</x:v>
      </x:c>
    </x:row>
    <x:row r="149">
      <x:c r="A149" t="n">
        <x:v>74</x:v>
      </x:c>
      <x:c r="B149" t="str">
        <x:v>Bicycle</x:v>
      </x:c>
      <x:c r="C149" t="str">
        <x:v>A</x:v>
      </x:c>
      <x:c r="D149" t="str">
        <x:v>Publisher A (blinded)</x:v>
      </x:c>
      <x:c r="E149" t="n">
        <x:v>17</x:v>
      </x:c>
      <x:c r="F149" t="n">
        <x:v>15</x:v>
      </x:c>
      <x:c r="G149" t="n">
        <x:v>13</x:v>
      </x:c>
      <x:c r="H149" t="n">
        <x:v>5</x:v>
      </x:c>
      <x:c r="I149" t="n">
        <x:v>0</x:v>
      </x:c>
      <x:c r="J149" t="n">
        <x:v>0</x:v>
      </x:c>
      <x:c r="K149" t="n">
        <x:v>1</x:v>
      </x:c>
      <x:c r="L149" t="n">
        <x:v>0</x:v>
      </x:c>
      <x:c r="M149" t="n">
        <x:v>49</x:v>
      </x:c>
      <x:c r="N149" t="n">
        <x:v>1</x:v>
      </x:c>
      <x:c r="O149" t="n">
        <x:v>0</x:v>
      </x:c>
      <x:c r="P149" t="n">
        <x:v>1</x:v>
      </x:c>
      <x:c r="Q149" t="n">
        <x:v>1</x:v>
      </x:c>
      <x:c r="R149" s="89" t="n">
        <x:f>IFERROR(F149/E149,0)</x:f>
        <x:v>0.8823529411764706</x:v>
      </x:c>
      <x:c r="S149" s="89" t="n">
        <x:f>IFERROR(G149/F149,0)</x:f>
        <x:v>0.8666666666666667</x:v>
      </x:c>
      <x:c r="T149" s="89" t="n">
        <x:f>IFERROR((H149+2*I149+3*J149+4*K149+5*L149)/(5*M149),0)</x:f>
        <x:v>0.036734693877551024</x:v>
      </x:c>
      <x:c r="U149" t="n">
        <x:f>SUM(O149:Q149)</x:f>
        <x:v>2</x:v>
      </x:c>
      <x:c r="V149" s="89" t="n">
        <x:f>0.3*S149+0.3*R149+0.3*(1-T149)-0.1*N149</x:f>
        <x:v>0.7136854741896758</x:v>
      </x:c>
    </x:row>
    <x:row r="150">
      <x:c r="A150" t="n">
        <x:v>74</x:v>
      </x:c>
      <x:c r="B150" t="str">
        <x:v>Bicycle</x:v>
      </x:c>
      <x:c r="C150" t="str">
        <x:v>B</x:v>
      </x:c>
      <x:c r="D150" t="str">
        <x:v>Publisher B (blinded)</x:v>
      </x:c>
      <x:c r="E150" t="n">
        <x:v>17</x:v>
      </x:c>
      <x:c r="F150" t="n">
        <x:v>12</x:v>
      </x:c>
      <x:c r="G150" t="n">
        <x:v>11</x:v>
      </x:c>
      <x:c r="H150" t="n">
        <x:v>3</x:v>
      </x:c>
      <x:c r="I150" t="n">
        <x:v>0</x:v>
      </x:c>
      <x:c r="J150" t="n">
        <x:v>4</x:v>
      </x:c>
      <x:c r="K150" t="n">
        <x:v>1</x:v>
      </x:c>
      <x:c r="L150" t="n">
        <x:v>0</x:v>
      </x:c>
      <x:c r="M150" t="n">
        <x:v>37</x:v>
      </x:c>
      <x:c r="N150" t="n">
        <x:v>1</x:v>
      </x:c>
      <x:c r="O150" t="n">
        <x:v>0</x:v>
      </x:c>
      <x:c r="P150" t="n">
        <x:v>1</x:v>
      </x:c>
      <x:c r="Q150" t="n">
        <x:v>1</x:v>
      </x:c>
      <x:c r="R150" s="89" t="n">
        <x:f>IFERROR(F150/E150,0)</x:f>
        <x:v>0.7058823529411765</x:v>
      </x:c>
      <x:c r="S150" s="89" t="n">
        <x:f>IFERROR(G150/F150,0)</x:f>
        <x:v>0.9166666666666666</x:v>
      </x:c>
      <x:c r="T150" s="89" t="n">
        <x:f>IFERROR((H150+2*I150+3*J150+4*K150+5*L150)/(5*M150),0)</x:f>
        <x:v>0.10270270270270271</x:v>
      </x:c>
      <x:c r="U150" t="n">
        <x:f>SUM(O150:Q150)</x:f>
        <x:v>2</x:v>
      </x:c>
      <x:c r="V150" s="89" t="n">
        <x:f>0.3*S150+0.3*R150+0.3*(1-T150)-0.1*N150</x:f>
        <x:v>0.6559538950715421</x:v>
      </x:c>
    </x:row>
    <x:row r="151">
      <x:c r="A151" t="n">
        <x:v>75</x:v>
      </x:c>
      <x:c r="B151" t="str">
        <x:v>Washing Machine</x:v>
      </x:c>
      <x:c r="C151" t="str">
        <x:v>A</x:v>
      </x:c>
      <x:c r="D151" t="str">
        <x:v>Publisher A (blinded)</x:v>
      </x:c>
      <x:c r="E151" t="n">
        <x:v>16</x:v>
      </x:c>
      <x:c r="F151" t="n">
        <x:v>13</x:v>
      </x:c>
      <x:c r="G151" t="n">
        <x:v>12</x:v>
      </x:c>
      <x:c r="H151" t="n">
        <x:v>2</x:v>
      </x:c>
      <x:c r="I151" t="n">
        <x:v>0</x:v>
      </x:c>
      <x:c r="J151" t="n">
        <x:v>7</x:v>
      </x:c>
      <x:c r="K151" t="n">
        <x:v>1</x:v>
      </x:c>
      <x:c r="L151" t="n">
        <x:v>0</x:v>
      </x:c>
      <x:c r="M151" t="n">
        <x:v>51</x:v>
      </x:c>
      <x:c r="N151" t="n">
        <x:v>0</x:v>
      </x:c>
      <x:c r="O151" t="n">
        <x:v>0</x:v>
      </x:c>
      <x:c r="P151" t="n">
        <x:v>1</x:v>
      </x:c>
      <x:c r="Q151" t="n">
        <x:v>1</x:v>
      </x:c>
      <x:c r="R151" s="89" t="n">
        <x:f>IFERROR(F151/E151,0)</x:f>
        <x:v>0.8125</x:v>
      </x:c>
      <x:c r="S151" s="89" t="n">
        <x:f>IFERROR(G151/F151,0)</x:f>
        <x:v>0.9230769230769231</x:v>
      </x:c>
      <x:c r="T151" s="89" t="n">
        <x:f>IFERROR((H151+2*I151+3*J151+4*K151+5*L151)/(5*M151),0)</x:f>
        <x:v>0.10588235294117647</x:v>
      </x:c>
      <x:c r="U151" t="n">
        <x:f>SUM(O151:Q151)</x:f>
        <x:v>2</x:v>
      </x:c>
      <x:c r="V151" s="89" t="n">
        <x:f>0.3*S151+0.3*R151+0.3*(1-T151)-0.1*N151</x:f>
        <x:v>0.7889083710407241</x:v>
      </x:c>
    </x:row>
    <x:row r="152">
      <x:c r="A152" t="n">
        <x:v>75</x:v>
      </x:c>
      <x:c r="B152" t="str">
        <x:v>Washing Machine</x:v>
      </x:c>
      <x:c r="C152" t="str">
        <x:v>B</x:v>
      </x:c>
      <x:c r="D152" t="str">
        <x:v>Publisher B (blinded)</x:v>
      </x:c>
      <x:c r="E152" t="n">
        <x:v>16</x:v>
      </x:c>
      <x:c r="F152" t="n">
        <x:v>12</x:v>
      </x:c>
      <x:c r="G152" t="n">
        <x:v>10</x:v>
      </x:c>
      <x:c r="H152" t="n">
        <x:v>6</x:v>
      </x:c>
      <x:c r="I152" t="n">
        <x:v>2</x:v>
      </x:c>
      <x:c r="J152" t="n">
        <x:v>3</x:v>
      </x:c>
      <x:c r="K152" t="n">
        <x:v>1</x:v>
      </x:c>
      <x:c r="L152" t="n">
        <x:v>0</x:v>
      </x:c>
      <x:c r="M152" t="n">
        <x:v>55</x:v>
      </x:c>
      <x:c r="N152" t="n">
        <x:v>1</x:v>
      </x:c>
      <x:c r="O152" t="n">
        <x:v>0</x:v>
      </x:c>
      <x:c r="P152" t="n">
        <x:v>1</x:v>
      </x:c>
      <x:c r="Q152" t="n">
        <x:v>1</x:v>
      </x:c>
      <x:c r="R152" s="89" t="n">
        <x:f>IFERROR(F152/E152,0)</x:f>
        <x:v>0.75</x:v>
      </x:c>
      <x:c r="S152" s="89" t="n">
        <x:f>IFERROR(G152/F152,0)</x:f>
        <x:v>0.8333333333333334</x:v>
      </x:c>
      <x:c r="T152" s="89" t="n">
        <x:f>IFERROR((H152+2*I152+3*J152+4*K152+5*L152)/(5*M152),0)</x:f>
        <x:v>0.08363636363636363</x:v>
      </x:c>
      <x:c r="U152" t="n">
        <x:f>SUM(O152:Q152)</x:f>
        <x:v>2</x:v>
      </x:c>
      <x:c r="V152" s="89" t="n">
        <x:f>0.3*S152+0.3*R152+0.3*(1-T152)-0.1*N152</x:f>
        <x:v>0.6499090909090909</x:v>
      </x:c>
    </x:row>
    <x:row r="153">
      <x:c r="A153" t="n">
        <x:v>76</x:v>
      </x:c>
      <x:c r="B153" t="str">
        <x:v>Protein Powder</x:v>
      </x:c>
      <x:c r="C153" t="str">
        <x:v>A</x:v>
      </x:c>
      <x:c r="D153" t="str">
        <x:v>Publisher A (blinded)</x:v>
      </x:c>
      <x:c r="E153" t="n">
        <x:v>16</x:v>
      </x:c>
      <x:c r="F153" t="n">
        <x:v>14</x:v>
      </x:c>
      <x:c r="G153" t="n">
        <x:v>12</x:v>
      </x:c>
      <x:c r="H153" t="n">
        <x:v>6</x:v>
      </x:c>
      <x:c r="I153" t="n">
        <x:v>0</x:v>
      </x:c>
      <x:c r="J153" t="n">
        <x:v>8</x:v>
      </x:c>
      <x:c r="K153" t="n">
        <x:v>0</x:v>
      </x:c>
      <x:c r="L153" t="n">
        <x:v>0</x:v>
      </x:c>
      <x:c r="M153" t="n">
        <x:v>74</x:v>
      </x:c>
      <x:c r="N153" t="n">
        <x:v>1</x:v>
      </x:c>
      <x:c r="O153" t="n">
        <x:v>0</x:v>
      </x:c>
      <x:c r="P153" t="n">
        <x:v>1</x:v>
      </x:c>
      <x:c r="Q153" t="n">
        <x:v>1</x:v>
      </x:c>
      <x:c r="R153" s="89" t="n">
        <x:f>IFERROR(F153/E153,0)</x:f>
        <x:v>0.875</x:v>
      </x:c>
      <x:c r="S153" s="89" t="n">
        <x:f>IFERROR(G153/F153,0)</x:f>
        <x:v>0.8571428571428571</x:v>
      </x:c>
      <x:c r="T153" s="89" t="n">
        <x:f>IFERROR((H153+2*I153+3*J153+4*K153+5*L153)/(5*M153),0)</x:f>
        <x:v>0.08108108108108109</x:v>
      </x:c>
      <x:c r="U153" t="n">
        <x:f>SUM(O153:Q153)</x:f>
        <x:v>2</x:v>
      </x:c>
      <x:c r="V153" s="89" t="n">
        <x:f>0.3*S153+0.3*R153+0.3*(1-T153)-0.1*N153</x:f>
        <x:v>0.6953185328185327</x:v>
      </x:c>
    </x:row>
    <x:row r="154">
      <x:c r="A154" t="n">
        <x:v>76</x:v>
      </x:c>
      <x:c r="B154" t="str">
        <x:v>Protein Powder</x:v>
      </x:c>
      <x:c r="C154" t="str">
        <x:v>B</x:v>
      </x:c>
      <x:c r="D154" t="str">
        <x:v>Publisher B (blinded)</x:v>
      </x:c>
      <x:c r="E154" t="n">
        <x:v>16</x:v>
      </x:c>
      <x:c r="F154" t="n">
        <x:v>15</x:v>
      </x:c>
      <x:c r="G154" t="n">
        <x:v>14</x:v>
      </x:c>
      <x:c r="H154" t="n">
        <x:v>5</x:v>
      </x:c>
      <x:c r="I154" t="n">
        <x:v>0</x:v>
      </x:c>
      <x:c r="J154" t="n">
        <x:v>8</x:v>
      </x:c>
      <x:c r="K154" t="n">
        <x:v>0</x:v>
      </x:c>
      <x:c r="L154" t="n">
        <x:v>1</x:v>
      </x:c>
      <x:c r="M154" t="n">
        <x:v>65</x:v>
      </x:c>
      <x:c r="N154" t="n">
        <x:v>0</x:v>
      </x:c>
      <x:c r="O154" t="n">
        <x:v>0</x:v>
      </x:c>
      <x:c r="P154" t="n">
        <x:v>1</x:v>
      </x:c>
      <x:c r="Q154" t="n">
        <x:v>1</x:v>
      </x:c>
      <x:c r="R154" s="89" t="n">
        <x:f>IFERROR(F154/E154,0)</x:f>
        <x:v>0.9375</x:v>
      </x:c>
      <x:c r="S154" s="89" t="n">
        <x:f>IFERROR(G154/F154,0)</x:f>
        <x:v>0.9333333333333333</x:v>
      </x:c>
      <x:c r="T154" s="89" t="n">
        <x:f>IFERROR((H154+2*I154+3*J154+4*K154+5*L154)/(5*M154),0)</x:f>
        <x:v>0.10461538461538461</x:v>
      </x:c>
      <x:c r="U154" t="n">
        <x:f>SUM(O154:Q154)</x:f>
        <x:v>2</x:v>
      </x:c>
      <x:c r="V154" s="89" t="n">
        <x:f>0.3*S154+0.3*R154+0.3*(1-T154)-0.1*N154</x:f>
        <x:v>0.8298653846153847</x:v>
      </x:c>
    </x:row>
    <x:row r="155">
      <x:c r="A155" t="n">
        <x:v>77</x:v>
      </x:c>
      <x:c r="B155" t="str">
        <x:v>Camping Tent</x:v>
      </x:c>
      <x:c r="C155" t="str">
        <x:v>A</x:v>
      </x:c>
      <x:c r="D155" t="str">
        <x:v>Publisher A (blinded)</x:v>
      </x:c>
      <x:c r="E155" t="n">
        <x:v>15</x:v>
      </x:c>
      <x:c r="F155" t="n">
        <x:v>14</x:v>
      </x:c>
      <x:c r="G155" t="n">
        <x:v>13</x:v>
      </x:c>
      <x:c r="H155" t="n">
        <x:v>6</x:v>
      </x:c>
      <x:c r="I155" t="n">
        <x:v>0</x:v>
      </x:c>
      <x:c r="J155" t="n">
        <x:v>2</x:v>
      </x:c>
      <x:c r="K155" t="n">
        <x:v>0</x:v>
      </x:c>
      <x:c r="L155" t="n">
        <x:v>1</x:v>
      </x:c>
      <x:c r="M155" t="n">
        <x:v>41</x:v>
      </x:c>
      <x:c r="N155" t="n">
        <x:v>1</x:v>
      </x:c>
      <x:c r="O155" t="n">
        <x:v>0</x:v>
      </x:c>
      <x:c r="P155" t="n">
        <x:v>1</x:v>
      </x:c>
      <x:c r="Q155" t="n">
        <x:v>1</x:v>
      </x:c>
      <x:c r="R155" s="89" t="n">
        <x:f>IFERROR(F155/E155,0)</x:f>
        <x:v>0.9333333333333333</x:v>
      </x:c>
      <x:c r="S155" s="89" t="n">
        <x:f>IFERROR(G155/F155,0)</x:f>
        <x:v>0.9285714285714286</x:v>
      </x:c>
      <x:c r="T155" s="89" t="n">
        <x:f>IFERROR((H155+2*I155+3*J155+4*K155+5*L155)/(5*M155),0)</x:f>
        <x:v>0.08292682926829269</x:v>
      </x:c>
      <x:c r="U155" t="n">
        <x:f>SUM(O155:Q155)</x:f>
        <x:v>2</x:v>
      </x:c>
      <x:c r="V155" s="89" t="n">
        <x:f>0.3*S155+0.3*R155+0.3*(1-T155)-0.1*N155</x:f>
        <x:v>0.7336933797909407</x:v>
      </x:c>
    </x:row>
    <x:row r="156">
      <x:c r="A156" t="n">
        <x:v>77</x:v>
      </x:c>
      <x:c r="B156" t="str">
        <x:v>Camping Tent</x:v>
      </x:c>
      <x:c r="C156" t="str">
        <x:v>B</x:v>
      </x:c>
      <x:c r="D156" t="str">
        <x:v>Publisher B (blinded)</x:v>
      </x:c>
      <x:c r="E156" t="n">
        <x:v>15</x:v>
      </x:c>
      <x:c r="F156" t="n">
        <x:v>9</x:v>
      </x:c>
      <x:c r="G156" t="n">
        <x:v>8</x:v>
      </x:c>
      <x:c r="H156" t="n">
        <x:v>4</x:v>
      </x:c>
      <x:c r="I156" t="n">
        <x:v>0</x:v>
      </x:c>
      <x:c r="J156" t="n">
        <x:v>1</x:v>
      </x:c>
      <x:c r="K156" t="n">
        <x:v>0</x:v>
      </x:c>
      <x:c r="L156" t="n">
        <x:v>0</x:v>
      </x:c>
      <x:c r="M156" t="n">
        <x:v>46</x:v>
      </x:c>
      <x:c r="N156" t="n">
        <x:v>0</x:v>
      </x:c>
      <x:c r="O156" t="n">
        <x:v>0</x:v>
      </x:c>
      <x:c r="P156" t="n">
        <x:v>1</x:v>
      </x:c>
      <x:c r="Q156" t="n">
        <x:v>1</x:v>
      </x:c>
      <x:c r="R156" s="89" t="n">
        <x:f>IFERROR(F156/E156,0)</x:f>
        <x:v>0.6</x:v>
      </x:c>
      <x:c r="S156" s="89" t="n">
        <x:f>IFERROR(G156/F156,0)</x:f>
        <x:v>0.8888888888888888</x:v>
      </x:c>
      <x:c r="T156" s="89" t="n">
        <x:f>IFERROR((H156+2*I156+3*J156+4*K156+5*L156)/(5*M156),0)</x:f>
        <x:v>0.030434782608695653</x:v>
      </x:c>
      <x:c r="U156" t="n">
        <x:f>SUM(O156:Q156)</x:f>
        <x:v>2</x:v>
      </x:c>
      <x:c r="V156" s="89" t="n">
        <x:f>0.3*S156+0.3*R156+0.3*(1-T156)-0.1*N156</x:f>
        <x:v>0.7375362318840579</x:v>
      </x:c>
    </x:row>
    <x:row r="157">
      <x:c r="A157" t="n">
        <x:v>78</x:v>
      </x:c>
      <x:c r="B157" t="str">
        <x:v>Refrigerator</x:v>
      </x:c>
      <x:c r="C157" t="str">
        <x:v>A</x:v>
      </x:c>
      <x:c r="D157" t="str">
        <x:v>Publisher A (blinded)</x:v>
      </x:c>
      <x:c r="E157" t="n">
        <x:v>16</x:v>
      </x:c>
      <x:c r="F157" t="n">
        <x:v>13</x:v>
      </x:c>
      <x:c r="G157" t="n">
        <x:v>12</x:v>
      </x:c>
      <x:c r="H157" t="n">
        <x:v>2</x:v>
      </x:c>
      <x:c r="I157" t="n">
        <x:v>0</x:v>
      </x:c>
      <x:c r="J157" t="n">
        <x:v>5</x:v>
      </x:c>
      <x:c r="K157" t="n">
        <x:v>1</x:v>
      </x:c>
      <x:c r="L157" t="n">
        <x:v>0</x:v>
      </x:c>
      <x:c r="M157" t="n">
        <x:v>51</x:v>
      </x:c>
      <x:c r="N157" t="n">
        <x:v>0</x:v>
      </x:c>
      <x:c r="O157" t="n">
        <x:v>0</x:v>
      </x:c>
      <x:c r="P157" t="n">
        <x:v>1</x:v>
      </x:c>
      <x:c r="Q157" t="n">
        <x:v>1</x:v>
      </x:c>
      <x:c r="R157" s="89" t="n">
        <x:f>IFERROR(F157/E157,0)</x:f>
        <x:v>0.8125</x:v>
      </x:c>
      <x:c r="S157" s="89" t="n">
        <x:f>IFERROR(G157/F157,0)</x:f>
        <x:v>0.9230769230769231</x:v>
      </x:c>
      <x:c r="T157" s="89" t="n">
        <x:f>IFERROR((H157+2*I157+3*J157+4*K157+5*L157)/(5*M157),0)</x:f>
        <x:v>0.08235294117647059</x:v>
      </x:c>
      <x:c r="U157" t="n">
        <x:f>SUM(O157:Q157)</x:f>
        <x:v>2</x:v>
      </x:c>
      <x:c r="V157" s="89" t="n">
        <x:f>0.3*S157+0.3*R157+0.3*(1-T157)-0.1*N157</x:f>
        <x:v>0.7959671945701358</x:v>
      </x:c>
    </x:row>
    <x:row r="158">
      <x:c r="A158" t="n">
        <x:v>78</x:v>
      </x:c>
      <x:c r="B158" t="str">
        <x:v>Refrigerator</x:v>
      </x:c>
      <x:c r="C158" t="str">
        <x:v>B</x:v>
      </x:c>
      <x:c r="D158" t="str">
        <x:v>Publisher B (blinded)</x:v>
      </x:c>
      <x:c r="E158" t="n">
        <x:v>16</x:v>
      </x:c>
      <x:c r="F158" t="n">
        <x:v>11</x:v>
      </x:c>
      <x:c r="G158" t="n">
        <x:v>9</x:v>
      </x:c>
      <x:c r="H158" t="n">
        <x:v>5</x:v>
      </x:c>
      <x:c r="I158" t="n">
        <x:v>0</x:v>
      </x:c>
      <x:c r="J158" t="n">
        <x:v>2</x:v>
      </x:c>
      <x:c r="K158" t="n">
        <x:v>0</x:v>
      </x:c>
      <x:c r="L158" t="n">
        <x:v>1</x:v>
      </x:c>
      <x:c r="M158" t="n">
        <x:v>55</x:v>
      </x:c>
      <x:c r="N158" t="n">
        <x:v>1</x:v>
      </x:c>
      <x:c r="O158" t="n">
        <x:v>0</x:v>
      </x:c>
      <x:c r="P158" t="n">
        <x:v>1</x:v>
      </x:c>
      <x:c r="Q158" t="n">
        <x:v>1</x:v>
      </x:c>
      <x:c r="R158" s="89" t="n">
        <x:f>IFERROR(F158/E158,0)</x:f>
        <x:v>0.6875</x:v>
      </x:c>
      <x:c r="S158" s="89" t="n">
        <x:f>IFERROR(G158/F158,0)</x:f>
        <x:v>0.8181818181818182</x:v>
      </x:c>
      <x:c r="T158" s="89" t="n">
        <x:f>IFERROR((H158+2*I158+3*J158+4*K158+5*L158)/(5*M158),0)</x:f>
        <x:v>0.05818181818181818</x:v>
      </x:c>
      <x:c r="U158" t="n">
        <x:f>SUM(O158:Q158)</x:f>
        <x:v>2</x:v>
      </x:c>
      <x:c r="V158" s="89" t="n">
        <x:f>0.3*S158+0.3*R158+0.3*(1-T158)-0.1*N158</x:f>
        <x:v>0.63425</x:v>
      </x:c>
    </x:row>
    <x:row r="159">
      <x:c r="A159" t="n">
        <x:v>79</x:v>
      </x:c>
      <x:c r="B159" t="str">
        <x:v>Desk Lamp</x:v>
      </x:c>
      <x:c r="C159" t="str">
        <x:v>A</x:v>
      </x:c>
      <x:c r="D159" t="str">
        <x:v>Publisher A (blinded)</x:v>
      </x:c>
      <x:c r="E159" t="n">
        <x:v>15</x:v>
      </x:c>
      <x:c r="F159" t="n">
        <x:v>11</x:v>
      </x:c>
      <x:c r="G159" t="n">
        <x:v>10</x:v>
      </x:c>
      <x:c r="H159" t="n">
        <x:v>11</x:v>
      </x:c>
      <x:c r="I159" t="n">
        <x:v>0</x:v>
      </x:c>
      <x:c r="J159" t="n">
        <x:v>6</x:v>
      </x:c>
      <x:c r="K159" t="n">
        <x:v>0</x:v>
      </x:c>
      <x:c r="L159" t="n">
        <x:v>1</x:v>
      </x:c>
      <x:c r="M159" t="n">
        <x:v>55</x:v>
      </x:c>
      <x:c r="N159" t="n">
        <x:v>0</x:v>
      </x:c>
      <x:c r="O159" t="n">
        <x:v>0</x:v>
      </x:c>
      <x:c r="P159" t="n">
        <x:v>1</x:v>
      </x:c>
      <x:c r="Q159" t="n">
        <x:v>1</x:v>
      </x:c>
      <x:c r="R159" s="89" t="n">
        <x:f>IFERROR(F159/E159,0)</x:f>
        <x:v>0.7333333333333333</x:v>
      </x:c>
      <x:c r="S159" s="89" t="n">
        <x:f>IFERROR(G159/F159,0)</x:f>
        <x:v>0.9090909090909091</x:v>
      </x:c>
      <x:c r="T159" s="89" t="n">
        <x:f>IFERROR((H159+2*I159+3*J159+4*K159+5*L159)/(5*M159),0)</x:f>
        <x:v>0.12363636363636364</x:v>
      </x:c>
      <x:c r="U159" t="n">
        <x:f>SUM(O159:Q159)</x:f>
        <x:v>2</x:v>
      </x:c>
      <x:c r="V159" s="89" t="n">
        <x:f>0.3*S159+0.3*R159+0.3*(1-T159)-0.1*N159</x:f>
        <x:v>0.7556363636363636</x:v>
      </x:c>
    </x:row>
    <x:row r="160">
      <x:c r="A160" t="n">
        <x:v>79</x:v>
      </x:c>
      <x:c r="B160" t="str">
        <x:v>Desk Lamp</x:v>
      </x:c>
      <x:c r="C160" t="str">
        <x:v>B</x:v>
      </x:c>
      <x:c r="D160" t="str">
        <x:v>Publisher B (blinded)</x:v>
      </x:c>
      <x:c r="E160" t="n">
        <x:v>15</x:v>
      </x:c>
      <x:c r="F160" t="n">
        <x:v>15</x:v>
      </x:c>
      <x:c r="G160" t="n">
        <x:v>13</x:v>
      </x:c>
      <x:c r="H160" t="n">
        <x:v>4</x:v>
      </x:c>
      <x:c r="I160" t="n">
        <x:v>0</x:v>
      </x:c>
      <x:c r="J160" t="n">
        <x:v>5</x:v>
      </x:c>
      <x:c r="K160" t="n">
        <x:v>1</x:v>
      </x:c>
      <x:c r="L160" t="n">
        <x:v>0</x:v>
      </x:c>
      <x:c r="M160" t="n">
        <x:v>41</x:v>
      </x:c>
      <x:c r="N160" t="n">
        <x:v>1</x:v>
      </x:c>
      <x:c r="O160" t="n">
        <x:v>0</x:v>
      </x:c>
      <x:c r="P160" t="n">
        <x:v>1</x:v>
      </x:c>
      <x:c r="Q160" t="n">
        <x:v>0</x:v>
      </x:c>
      <x:c r="R160" s="89" t="n">
        <x:f>IFERROR(F160/E160,0)</x:f>
        <x:v>1</x:v>
      </x:c>
      <x:c r="S160" s="89" t="n">
        <x:f>IFERROR(G160/F160,0)</x:f>
        <x:v>0.8666666666666667</x:v>
      </x:c>
      <x:c r="T160" s="89" t="n">
        <x:f>IFERROR((H160+2*I160+3*J160+4*K160+5*L160)/(5*M160),0)</x:f>
        <x:v>0.11219512195121951</x:v>
      </x:c>
      <x:c r="U160" t="n">
        <x:f>SUM(O160:Q160)</x:f>
        <x:v>1</x:v>
      </x:c>
      <x:c r="V160" s="89" t="n">
        <x:f>0.3*S160+0.3*R160+0.3*(1-T160)-0.1*N160</x:f>
        <x:v>0.7263414634146342</x:v>
      </x:c>
    </x:row>
    <x:row r="161">
      <x:c r="A161" t="n">
        <x:v>80</x:v>
      </x:c>
      <x:c r="B161" t="str">
        <x:v>Bicycle Helmet</x:v>
      </x:c>
      <x:c r="C161" t="str">
        <x:v>A</x:v>
      </x:c>
      <x:c r="D161" t="str">
        <x:v>Publisher A (blinded)</x:v>
      </x:c>
      <x:c r="E161" t="n">
        <x:v>17</x:v>
      </x:c>
      <x:c r="F161" t="n">
        <x:v>15</x:v>
      </x:c>
      <x:c r="G161" t="n">
        <x:v>13</x:v>
      </x:c>
      <x:c r="H161" t="n">
        <x:v>6</x:v>
      </x:c>
      <x:c r="I161" t="n">
        <x:v>0</x:v>
      </x:c>
      <x:c r="J161" t="n">
        <x:v>4</x:v>
      </x:c>
      <x:c r="K161" t="n">
        <x:v>1</x:v>
      </x:c>
      <x:c r="L161" t="n">
        <x:v>2</x:v>
      </x:c>
      <x:c r="M161" t="n">
        <x:v>53</x:v>
      </x:c>
      <x:c r="N161" t="n">
        <x:v>1</x:v>
      </x:c>
      <x:c r="O161" t="n">
        <x:v>0</x:v>
      </x:c>
      <x:c r="P161" t="n">
        <x:v>1</x:v>
      </x:c>
      <x:c r="Q161" t="n">
        <x:v>1</x:v>
      </x:c>
      <x:c r="R161" s="89" t="n">
        <x:f>IFERROR(F161/E161,0)</x:f>
        <x:v>0.8823529411764706</x:v>
      </x:c>
      <x:c r="S161" s="89" t="n">
        <x:f>IFERROR(G161/F161,0)</x:f>
        <x:v>0.8666666666666667</x:v>
      </x:c>
      <x:c r="T161" s="89" t="n">
        <x:f>IFERROR((H161+2*I161+3*J161+4*K161+5*L161)/(5*M161),0)</x:f>
        <x:v>0.12075471698113208</x:v>
      </x:c>
      <x:c r="U161" t="n">
        <x:f>SUM(O161:Q161)</x:f>
        <x:v>2</x:v>
      </x:c>
      <x:c r="V161" s="89" t="n">
        <x:f>0.3*S161+0.3*R161+0.3*(1-T161)-0.1*N161</x:f>
        <x:v>0.6884794672586015</x:v>
      </x:c>
    </x:row>
    <x:row r="162">
      <x:c r="A162" t="n">
        <x:v>80</x:v>
      </x:c>
      <x:c r="B162" t="str">
        <x:v>Bicycle Helmet</x:v>
      </x:c>
      <x:c r="C162" t="str">
        <x:v>B</x:v>
      </x:c>
      <x:c r="D162" t="str">
        <x:v>Publisher B (blinded)</x:v>
      </x:c>
      <x:c r="E162" t="n">
        <x:v>17</x:v>
      </x:c>
      <x:c r="F162" t="n">
        <x:v>11</x:v>
      </x:c>
      <x:c r="G162" t="n">
        <x:v>9</x:v>
      </x:c>
      <x:c r="H162" t="n">
        <x:v>9</x:v>
      </x:c>
      <x:c r="I162" t="n">
        <x:v>2</x:v>
      </x:c>
      <x:c r="J162" t="n">
        <x:v>0</x:v>
      </x:c>
      <x:c r="K162" t="n">
        <x:v>0</x:v>
      </x:c>
      <x:c r="L162" t="n">
        <x:v>2</x:v>
      </x:c>
      <x:c r="M162" t="n">
        <x:v>78</x:v>
      </x:c>
      <x:c r="N162" t="n">
        <x:v>1</x:v>
      </x:c>
      <x:c r="O162" t="n">
        <x:v>0</x:v>
      </x:c>
      <x:c r="P162" t="n">
        <x:v>1</x:v>
      </x:c>
      <x:c r="Q162" t="n">
        <x:v>1</x:v>
      </x:c>
      <x:c r="R162" s="89" t="n">
        <x:f>IFERROR(F162/E162,0)</x:f>
        <x:v>0.6470588235294118</x:v>
      </x:c>
      <x:c r="S162" s="89" t="n">
        <x:f>IFERROR(G162/F162,0)</x:f>
        <x:v>0.8181818181818182</x:v>
      </x:c>
      <x:c r="T162" s="89" t="n">
        <x:f>IFERROR((H162+2*I162+3*J162+4*K162+5*L162)/(5*M162),0)</x:f>
        <x:v>0.05897435897435897</x:v>
      </x:c>
      <x:c r="U162" t="n">
        <x:f>SUM(O162:Q162)</x:f>
        <x:v>2</x:v>
      </x:c>
      <x:c r="V162" s="89" t="n">
        <x:f>0.3*S162+0.3*R162+0.3*(1-T162)-0.1*N162</x:f>
        <x:v>0.6218798848210613</x:v>
      </x:c>
    </x:row>
    <x:row r="163">
      <x:c r="A163" t="n">
        <x:v>81</x:v>
      </x:c>
      <x:c r="B163" t="str">
        <x:v>Running Shoes</x:v>
      </x:c>
      <x:c r="C163" t="str">
        <x:v>A</x:v>
      </x:c>
      <x:c r="D163" t="str">
        <x:v>Publisher A (blinded)</x:v>
      </x:c>
      <x:c r="E163" t="n">
        <x:v>15</x:v>
      </x:c>
      <x:c r="F163" t="n">
        <x:v>15</x:v>
      </x:c>
      <x:c r="G163" t="n">
        <x:v>13</x:v>
      </x:c>
      <x:c r="H163" t="n">
        <x:v>7</x:v>
      </x:c>
      <x:c r="I163" t="n">
        <x:v>0</x:v>
      </x:c>
      <x:c r="J163" t="n">
        <x:v>4</x:v>
      </x:c>
      <x:c r="K163" t="n">
        <x:v>1</x:v>
      </x:c>
      <x:c r="L163" t="n">
        <x:v>2</x:v>
      </x:c>
      <x:c r="M163" t="n">
        <x:v>50</x:v>
      </x:c>
      <x:c r="N163" t="n">
        <x:v>1</x:v>
      </x:c>
      <x:c r="O163" t="n">
        <x:v>0</x:v>
      </x:c>
      <x:c r="P163" t="n">
        <x:v>1</x:v>
      </x:c>
      <x:c r="Q163" t="n">
        <x:v>0</x:v>
      </x:c>
      <x:c r="R163" s="89" t="n">
        <x:f>IFERROR(F163/E163,0)</x:f>
        <x:v>1</x:v>
      </x:c>
      <x:c r="S163" s="89" t="n">
        <x:f>IFERROR(G163/F163,0)</x:f>
        <x:v>0.8666666666666667</x:v>
      </x:c>
      <x:c r="T163" s="89" t="n">
        <x:f>IFERROR((H163+2*I163+3*J163+4*K163+5*L163)/(5*M163),0)</x:f>
        <x:v>0.132</x:v>
      </x:c>
      <x:c r="U163" t="n">
        <x:f>SUM(O163:Q163)</x:f>
        <x:v>1</x:v>
      </x:c>
      <x:c r="V163" s="89" t="n">
        <x:f>0.3*S163+0.3*R163+0.3*(1-T163)-0.1*N163</x:f>
        <x:v>0.7204</x:v>
      </x:c>
    </x:row>
    <x:row r="164">
      <x:c r="A164" t="n">
        <x:v>81</x:v>
      </x:c>
      <x:c r="B164" t="str">
        <x:v>Running Shoes</x:v>
      </x:c>
      <x:c r="C164" t="str">
        <x:v>B</x:v>
      </x:c>
      <x:c r="D164" t="str">
        <x:v>Publisher B (blinded)</x:v>
      </x:c>
      <x:c r="E164" t="n">
        <x:v>15</x:v>
      </x:c>
      <x:c r="F164" t="n">
        <x:v>13</x:v>
      </x:c>
      <x:c r="G164" t="n">
        <x:v>11</x:v>
      </x:c>
      <x:c r="H164" t="n">
        <x:v>4</x:v>
      </x:c>
      <x:c r="I164" t="n">
        <x:v>1</x:v>
      </x:c>
      <x:c r="J164" t="n">
        <x:v>2</x:v>
      </x:c>
      <x:c r="K164" t="n">
        <x:v>0</x:v>
      </x:c>
      <x:c r="L164" t="n">
        <x:v>0</x:v>
      </x:c>
      <x:c r="M164" t="n">
        <x:v>53</x:v>
      </x:c>
      <x:c r="N164" t="n">
        <x:v>1</x:v>
      </x:c>
      <x:c r="O164" t="n">
        <x:v>0</x:v>
      </x:c>
      <x:c r="P164" t="n">
        <x:v>1</x:v>
      </x:c>
      <x:c r="Q164" t="n">
        <x:v>1</x:v>
      </x:c>
      <x:c r="R164" s="89" t="n">
        <x:f>IFERROR(F164/E164,0)</x:f>
        <x:v>0.8666666666666667</x:v>
      </x:c>
      <x:c r="S164" s="89" t="n">
        <x:f>IFERROR(G164/F164,0)</x:f>
        <x:v>0.8461538461538461</x:v>
      </x:c>
      <x:c r="T164" s="89" t="n">
        <x:f>IFERROR((H164+2*I164+3*J164+4*K164+5*L164)/(5*M164),0)</x:f>
        <x:v>0.045283018867924525</x:v>
      </x:c>
      <x:c r="U164" t="n">
        <x:f>SUM(O164:Q164)</x:f>
        <x:v>2</x:v>
      </x:c>
      <x:c r="V164" s="89" t="n">
        <x:f>0.3*S164+0.3*R164+0.3*(1-T164)-0.1*N164</x:f>
        <x:v>0.7002612481857765</x:v>
      </x:c>
    </x:row>
    <x:row r="165">
      <x:c r="A165" t="n">
        <x:v>82</x:v>
      </x:c>
      <x:c r="B165" t="str">
        <x:v>Coffee Machines</x:v>
      </x:c>
      <x:c r="C165" t="str">
        <x:v>A</x:v>
      </x:c>
      <x:c r="D165" t="str">
        <x:v>Publisher A (blinded)</x:v>
      </x:c>
      <x:c r="E165" t="n">
        <x:v>16</x:v>
      </x:c>
      <x:c r="F165" t="n">
        <x:v>12</x:v>
      </x:c>
      <x:c r="G165" t="n">
        <x:v>11</x:v>
      </x:c>
      <x:c r="H165" t="n">
        <x:v>4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83</x:v>
      </x:c>
      <x:c r="N165" t="n">
        <x:v>0</x:v>
      </x:c>
      <x:c r="O165" t="n">
        <x:v>0</x:v>
      </x:c>
      <x:c r="P165" t="n">
        <x:v>1</x:v>
      </x:c>
      <x:c r="Q165" t="n">
        <x:v>1</x:v>
      </x:c>
      <x:c r="R165" s="89" t="n">
        <x:f>IFERROR(F165/E165,0)</x:f>
        <x:v>0.75</x:v>
      </x:c>
      <x:c r="S165" s="89" t="n">
        <x:f>IFERROR(G165/F165,0)</x:f>
        <x:v>0.9166666666666666</x:v>
      </x:c>
      <x:c r="T165" s="89" t="n">
        <x:f>IFERROR((H165+2*I165+3*J165+4*K165+5*L165)/(5*M165),0)</x:f>
        <x:v>0.00963855421686747</x:v>
      </x:c>
      <x:c r="U165" t="n">
        <x:f>SUM(O165:Q165)</x:f>
        <x:v>2</x:v>
      </x:c>
      <x:c r="V165" s="89" t="n">
        <x:f>0.3*S165+0.3*R165+0.3*(1-T165)-0.1*N165</x:f>
        <x:v>0.7971084337349397</x:v>
      </x:c>
    </x:row>
    <x:row r="166">
      <x:c r="A166" t="n">
        <x:v>82</x:v>
      </x:c>
      <x:c r="B166" t="str">
        <x:v>Coffee Machines</x:v>
      </x:c>
      <x:c r="C166" t="str">
        <x:v>B</x:v>
      </x:c>
      <x:c r="D166" t="str">
        <x:v>Publisher B (blinded)</x:v>
      </x:c>
      <x:c r="E166" t="n">
        <x:v>16</x:v>
      </x:c>
      <x:c r="F166" t="n">
        <x:v>16</x:v>
      </x:c>
      <x:c r="G166" t="n">
        <x:v>14</x:v>
      </x:c>
      <x:c r="H166" t="n">
        <x:v>20</x:v>
      </x:c>
      <x:c r="I166" t="n">
        <x:v>0</x:v>
      </x:c>
      <x:c r="J166" t="n">
        <x:v>2</x:v>
      </x:c>
      <x:c r="K166" t="n">
        <x:v>0</x:v>
      </x:c>
      <x:c r="L166" t="n">
        <x:v>0</x:v>
      </x:c>
      <x:c r="M166" t="n">
        <x:v>91</x:v>
      </x:c>
      <x:c r="N166" t="n">
        <x:v>1</x:v>
      </x:c>
      <x:c r="O166" t="n">
        <x:v>0</x:v>
      </x:c>
      <x:c r="P166" t="n">
        <x:v>1</x:v>
      </x:c>
      <x:c r="Q166" t="n">
        <x:v>0</x:v>
      </x:c>
      <x:c r="R166" s="89" t="n">
        <x:f>IFERROR(F166/E166,0)</x:f>
        <x:v>1</x:v>
      </x:c>
      <x:c r="S166" s="89" t="n">
        <x:f>IFERROR(G166/F166,0)</x:f>
        <x:v>0.875</x:v>
      </x:c>
      <x:c r="T166" s="89" t="n">
        <x:f>IFERROR((H166+2*I166+3*J166+4*K166+5*L166)/(5*M166),0)</x:f>
        <x:v>0.05714285714285714</x:v>
      </x:c>
      <x:c r="U166" t="n">
        <x:f>SUM(O166:Q166)</x:f>
        <x:v>1</x:v>
      </x:c>
      <x:c r="V166" s="89" t="n">
        <x:f>0.3*S166+0.3*R166+0.3*(1-T166)-0.1*N166</x:f>
        <x:v>0.7453571428571429</x:v>
      </x:c>
    </x:row>
    <x:row r="167">
      <x:c r="A167" t="n">
        <x:v>83</x:v>
      </x:c>
      <x:c r="B167" t="str">
        <x:v>Smartwatch</x:v>
      </x:c>
      <x:c r="C167" t="str">
        <x:v>A</x:v>
      </x:c>
      <x:c r="D167" t="str">
        <x:v>Publisher A (blinded)</x:v>
      </x:c>
      <x:c r="E167" t="n">
        <x:v>15</x:v>
      </x:c>
      <x:c r="F167" t="n">
        <x:v>14</x:v>
      </x:c>
      <x:c r="G167" t="n">
        <x:v>12</x:v>
      </x:c>
      <x:c r="H167" t="n">
        <x:v>8</x:v>
      </x:c>
      <x:c r="I167" t="n">
        <x:v>0</x:v>
      </x:c>
      <x:c r="J167" t="n">
        <x:v>2</x:v>
      </x:c>
      <x:c r="K167" t="n">
        <x:v>4</x:v>
      </x:c>
      <x:c r="L167" t="n">
        <x:v>0</x:v>
      </x:c>
      <x:c r="M167" t="n">
        <x:v>50</x:v>
      </x:c>
      <x:c r="N167" t="n">
        <x:v>1</x:v>
      </x:c>
      <x:c r="O167" t="n">
        <x:v>0</x:v>
      </x:c>
      <x:c r="P167" t="n">
        <x:v>1</x:v>
      </x:c>
      <x:c r="Q167" t="n">
        <x:v>1</x:v>
      </x:c>
      <x:c r="R167" s="89" t="n">
        <x:f>IFERROR(F167/E167,0)</x:f>
        <x:v>0.9333333333333333</x:v>
      </x:c>
      <x:c r="S167" s="89" t="n">
        <x:f>IFERROR(G167/F167,0)</x:f>
        <x:v>0.8571428571428571</x:v>
      </x:c>
      <x:c r="T167" s="89" t="n">
        <x:f>IFERROR((H167+2*I167+3*J167+4*K167+5*L167)/(5*M167),0)</x:f>
        <x:v>0.12</x:v>
      </x:c>
      <x:c r="U167" t="n">
        <x:f>SUM(O167:Q167)</x:f>
        <x:v>2</x:v>
      </x:c>
      <x:c r="V167" s="89" t="n">
        <x:f>0.3*S167+0.3*R167+0.3*(1-T167)-0.1*N167</x:f>
        <x:v>0.7011428571428572</x:v>
      </x:c>
    </x:row>
    <x:row r="168">
      <x:c r="A168" t="n">
        <x:v>83</x:v>
      </x:c>
      <x:c r="B168" t="str">
        <x:v>Smartwatch</x:v>
      </x:c>
      <x:c r="C168" t="str">
        <x:v>B</x:v>
      </x:c>
      <x:c r="D168" t="str">
        <x:v>Publisher B (blinded)</x:v>
      </x:c>
      <x:c r="E168" t="n">
        <x:v>15</x:v>
      </x:c>
      <x:c r="F168" t="n">
        <x:v>9</x:v>
      </x:c>
      <x:c r="G168" t="n">
        <x:v>7</x:v>
      </x:c>
      <x:c r="H168" t="n">
        <x:v>14</x:v>
      </x:c>
      <x:c r="I168" t="n">
        <x:v>0</x:v>
      </x:c>
      <x:c r="J168" t="n">
        <x:v>4</x:v>
      </x:c>
      <x:c r="K168" t="n">
        <x:v>3</x:v>
      </x:c>
      <x:c r="L168" t="n">
        <x:v>0</x:v>
      </x:c>
      <x:c r="M168" t="n">
        <x:v>45</x:v>
      </x:c>
      <x:c r="N168" t="n">
        <x:v>1</x:v>
      </x:c>
      <x:c r="O168" t="n">
        <x:v>0</x:v>
      </x:c>
      <x:c r="P168" t="n">
        <x:v>1</x:v>
      </x:c>
      <x:c r="Q168" t="n">
        <x:v>1</x:v>
      </x:c>
      <x:c r="R168" s="89" t="n">
        <x:f>IFERROR(F168/E168,0)</x:f>
        <x:v>0.6</x:v>
      </x:c>
      <x:c r="S168" s="89" t="n">
        <x:f>IFERROR(G168/F168,0)</x:f>
        <x:v>0.7777777777777778</x:v>
      </x:c>
      <x:c r="T168" s="89" t="n">
        <x:f>IFERROR((H168+2*I168+3*J168+4*K168+5*L168)/(5*M168),0)</x:f>
        <x:v>0.1688888888888889</x:v>
      </x:c>
      <x:c r="U168" t="n">
        <x:f>SUM(O168:Q168)</x:f>
        <x:v>2</x:v>
      </x:c>
      <x:c r="V168" s="89" t="n">
        <x:f>0.3*S168+0.3*R168+0.3*(1-T168)-0.1*N168</x:f>
        <x:v>0.5626666666666666</x:v>
      </x:c>
    </x:row>
    <x:row r="169">
      <x:c r="A169" t="n">
        <x:v>84</x:v>
      </x:c>
      <x:c r="B169" t="str">
        <x:v>Laptop</x:v>
      </x:c>
      <x:c r="C169" t="str">
        <x:v>A</x:v>
      </x:c>
      <x:c r="D169" t="str">
        <x:v>Publisher A (blinded)</x:v>
      </x:c>
      <x:c r="E169" t="n">
        <x:v>16</x:v>
      </x:c>
      <x:c r="F169" t="n">
        <x:v>11</x:v>
      </x:c>
      <x:c r="G169" t="n">
        <x:v>10</x:v>
      </x:c>
      <x:c r="H169" t="n">
        <x:v>4</x:v>
      </x:c>
      <x:c r="I169" t="n">
        <x:v>0</x:v>
      </x:c>
      <x:c r="J169" t="n">
        <x:v>3</x:v>
      </x:c>
      <x:c r="K169" t="n">
        <x:v>2</x:v>
      </x:c>
      <x:c r="L169" t="n">
        <x:v>0</x:v>
      </x:c>
      <x:c r="M169" t="n">
        <x:v>51</x:v>
      </x:c>
      <x:c r="N169" t="n">
        <x:v>1</x:v>
      </x:c>
      <x:c r="O169" t="n">
        <x:v>0</x:v>
      </x:c>
      <x:c r="P169" t="n">
        <x:v>1</x:v>
      </x:c>
      <x:c r="Q169" t="n">
        <x:v>1</x:v>
      </x:c>
      <x:c r="R169" s="89" t="n">
        <x:f>IFERROR(F169/E169,0)</x:f>
        <x:v>0.6875</x:v>
      </x:c>
      <x:c r="S169" s="89" t="n">
        <x:f>IFERROR(G169/F169,0)</x:f>
        <x:v>0.9090909090909091</x:v>
      </x:c>
      <x:c r="T169" s="89" t="n">
        <x:f>IFERROR((H169+2*I169+3*J169+4*K169+5*L169)/(5*M169),0)</x:f>
        <x:v>0.08235294117647059</x:v>
      </x:c>
      <x:c r="U169" t="n">
        <x:f>SUM(O169:Q169)</x:f>
        <x:v>2</x:v>
      </x:c>
      <x:c r="V169" s="89" t="n">
        <x:f>0.3*S169+0.3*R169+0.3*(1-T169)-0.1*N169</x:f>
        <x:v>0.6542713903743315</x:v>
      </x:c>
    </x:row>
    <x:row r="170">
      <x:c r="A170" t="n">
        <x:v>84</x:v>
      </x:c>
      <x:c r="B170" t="str">
        <x:v>Laptop</x:v>
      </x:c>
      <x:c r="C170" t="str">
        <x:v>B</x:v>
      </x:c>
      <x:c r="D170" t="str">
        <x:v>Publisher B (blinded)</x:v>
      </x:c>
      <x:c r="E170" t="n">
        <x:v>16</x:v>
      </x:c>
      <x:c r="F170" t="n">
        <x:v>14</x:v>
      </x:c>
      <x:c r="G170" t="n">
        <x:v>12</x:v>
      </x:c>
      <x:c r="H170" t="n">
        <x:v>11</x:v>
      </x:c>
      <x:c r="I170" t="n">
        <x:v>0</x:v>
      </x:c>
      <x:c r="J170" t="n">
        <x:v>1</x:v>
      </x:c>
      <x:c r="K170" t="n">
        <x:v>1</x:v>
      </x:c>
      <x:c r="L170" t="n">
        <x:v>0</x:v>
      </x:c>
      <x:c r="M170" t="n">
        <x:v>51</x:v>
      </x:c>
      <x:c r="N170" t="n">
        <x:v>1</x:v>
      </x:c>
      <x:c r="O170" t="n">
        <x:v>0</x:v>
      </x:c>
      <x:c r="P170" t="n">
        <x:v>1</x:v>
      </x:c>
      <x:c r="Q170" t="n">
        <x:v>1</x:v>
      </x:c>
      <x:c r="R170" s="89" t="n">
        <x:f>IFERROR(F170/E170,0)</x:f>
        <x:v>0.875</x:v>
      </x:c>
      <x:c r="S170" s="89" t="n">
        <x:f>IFERROR(G170/F170,0)</x:f>
        <x:v>0.8571428571428571</x:v>
      </x:c>
      <x:c r="T170" s="89" t="n">
        <x:f>IFERROR((H170+2*I170+3*J170+4*K170+5*L170)/(5*M170),0)</x:f>
        <x:v>0.07058823529411765</x:v>
      </x:c>
      <x:c r="U170" t="n">
        <x:f>SUM(O170:Q170)</x:f>
        <x:v>2</x:v>
      </x:c>
      <x:c r="V170" s="89" t="n">
        <x:f>0.3*S170+0.3*R170+0.3*(1-T170)-0.1*N170</x:f>
        <x:v>0.6984663865546218</x:v>
      </x:c>
    </x:row>
    <x:row r="171">
      <x:c r="A171" t="n">
        <x:v>85</x:v>
      </x:c>
      <x:c r="B171" t="str">
        <x:v>Home Paint</x:v>
      </x:c>
      <x:c r="C171" t="str">
        <x:v>A</x:v>
      </x:c>
      <x:c r="D171" t="str">
        <x:v>Publisher A (blinded)</x:v>
      </x:c>
      <x:c r="E171" t="n">
        <x:v>15</x:v>
      </x:c>
      <x:c r="F171" t="n">
        <x:v>13</x:v>
      </x:c>
      <x:c r="G171" t="n">
        <x:v>11</x:v>
      </x:c>
      <x:c r="H171" t="n">
        <x:v>4</x:v>
      </x:c>
      <x:c r="I171" t="n">
        <x:v>0</x:v>
      </x:c>
      <x:c r="J171" t="n">
        <x:v>0</x:v>
      </x:c>
      <x:c r="K171" t="n">
        <x:v>0</x:v>
      </x:c>
      <x:c r="L171" t="n">
        <x:v>8</x:v>
      </x:c>
      <x:c r="M171" t="n">
        <x:v>58</x:v>
      </x:c>
      <x:c r="N171" t="n">
        <x:v>1</x:v>
      </x:c>
      <x:c r="O171" t="n">
        <x:v>0</x:v>
      </x:c>
      <x:c r="P171" t="n">
        <x:v>1</x:v>
      </x:c>
      <x:c r="Q171" t="n">
        <x:v>1</x:v>
      </x:c>
      <x:c r="R171" s="89" t="n">
        <x:f>IFERROR(F171/E171,0)</x:f>
        <x:v>0.8666666666666667</x:v>
      </x:c>
      <x:c r="S171" s="89" t="n">
        <x:f>IFERROR(G171/F171,0)</x:f>
        <x:v>0.8461538461538461</x:v>
      </x:c>
      <x:c r="T171" s="89" t="n">
        <x:f>IFERROR((H171+2*I171+3*J171+4*K171+5*L171)/(5*M171),0)</x:f>
        <x:v>0.15172413793103448</x:v>
      </x:c>
      <x:c r="U171" t="n">
        <x:f>SUM(O171:Q171)</x:f>
        <x:v>2</x:v>
      </x:c>
      <x:c r="V171" s="89" t="n">
        <x:f>0.3*S171+0.3*R171+0.3*(1-T171)-0.1*N171</x:f>
        <x:v>0.6683289124668436</x:v>
      </x:c>
    </x:row>
    <x:row r="172">
      <x:c r="A172" t="n">
        <x:v>85</x:v>
      </x:c>
      <x:c r="B172" t="str">
        <x:v>Home Paint</x:v>
      </x:c>
      <x:c r="C172" t="str">
        <x:v>B</x:v>
      </x:c>
      <x:c r="D172" t="str">
        <x:v>Publisher B (blinded)</x:v>
      </x:c>
      <x:c r="E172" t="n">
        <x:v>15</x:v>
      </x:c>
      <x:c r="F172" t="n">
        <x:v>12</x:v>
      </x:c>
      <x:c r="G172" t="n">
        <x:v>11</x:v>
      </x:c>
      <x:c r="H172" t="n">
        <x:v>5</x:v>
      </x:c>
      <x:c r="I172" t="n">
        <x:v>0</x:v>
      </x:c>
      <x:c r="J172" t="n">
        <x:v>6</x:v>
      </x:c>
      <x:c r="K172" t="n">
        <x:v>0</x:v>
      </x:c>
      <x:c r="L172" t="n">
        <x:v>3</x:v>
      </x:c>
      <x:c r="M172" t="n">
        <x:v>50</x:v>
      </x:c>
      <x:c r="N172" t="n">
        <x:v>0</x:v>
      </x:c>
      <x:c r="O172" t="n">
        <x:v>0</x:v>
      </x:c>
      <x:c r="P172" t="n">
        <x:v>1</x:v>
      </x:c>
      <x:c r="Q172" t="n">
        <x:v>1</x:v>
      </x:c>
      <x:c r="R172" s="89" t="n">
        <x:f>IFERROR(F172/E172,0)</x:f>
        <x:v>0.8</x:v>
      </x:c>
      <x:c r="S172" s="89" t="n">
        <x:f>IFERROR(G172/F172,0)</x:f>
        <x:v>0.9166666666666666</x:v>
      </x:c>
      <x:c r="T172" s="89" t="n">
        <x:f>IFERROR((H172+2*I172+3*J172+4*K172+5*L172)/(5*M172),0)</x:f>
        <x:v>0.152</x:v>
      </x:c>
      <x:c r="U172" t="n">
        <x:f>SUM(O172:Q172)</x:f>
        <x:v>2</x:v>
      </x:c>
      <x:c r="V172" s="89" t="n">
        <x:f>0.3*S172+0.3*R172+0.3*(1-T172)-0.1*N172</x:f>
        <x:v>0.7693999999999999</x:v>
      </x:c>
    </x:row>
    <x:row r="173">
      <x:c r="A173" t="n">
        <x:v>86</x:v>
      </x:c>
      <x:c r="B173" t="str">
        <x:v>Backpack</x:v>
      </x:c>
      <x:c r="C173" t="str">
        <x:v>A</x:v>
      </x:c>
      <x:c r="D173" t="str">
        <x:v>Publisher A (blinded)</x:v>
      </x:c>
      <x:c r="E173" t="n">
        <x:v>16</x:v>
      </x:c>
      <x:c r="F173" t="n">
        <x:v>13</x:v>
      </x:c>
      <x:c r="G173" t="n">
        <x:v>12</x:v>
      </x:c>
      <x:c r="H173" t="n">
        <x:v>8</x:v>
      </x:c>
      <x:c r="I173" t="n">
        <x:v>0</x:v>
      </x:c>
      <x:c r="J173" t="n">
        <x:v>3</x:v>
      </x:c>
      <x:c r="K173" t="n">
        <x:v>1</x:v>
      </x:c>
      <x:c r="L173" t="n">
        <x:v>4</x:v>
      </x:c>
      <x:c r="M173" t="n">
        <x:v>51</x:v>
      </x:c>
      <x:c r="N173" t="n">
        <x:v>0</x:v>
      </x:c>
      <x:c r="O173" t="n">
        <x:v>0</x:v>
      </x:c>
      <x:c r="P173" t="n">
        <x:v>1</x:v>
      </x:c>
      <x:c r="Q173" t="n">
        <x:v>1</x:v>
      </x:c>
      <x:c r="R173" s="89" t="n">
        <x:f>IFERROR(F173/E173,0)</x:f>
        <x:v>0.8125</x:v>
      </x:c>
      <x:c r="S173" s="89" t="n">
        <x:f>IFERROR(G173/F173,0)</x:f>
        <x:v>0.9230769230769231</x:v>
      </x:c>
      <x:c r="T173" s="89" t="n">
        <x:f>IFERROR((H173+2*I173+3*J173+4*K173+5*L173)/(5*M173),0)</x:f>
        <x:v>0.1607843137254902</x:v>
      </x:c>
      <x:c r="U173" t="n">
        <x:f>SUM(O173:Q173)</x:f>
        <x:v>2</x:v>
      </x:c>
      <x:c r="V173" s="89" t="n">
        <x:f>0.3*S173+0.3*R173+0.3*(1-T173)-0.1*N173</x:f>
        <x:v>0.7724377828054299</x:v>
      </x:c>
    </x:row>
    <x:row r="174">
      <x:c r="A174" t="n">
        <x:v>86</x:v>
      </x:c>
      <x:c r="B174" t="str">
        <x:v>Backpack</x:v>
      </x:c>
      <x:c r="C174" t="str">
        <x:v>B</x:v>
      </x:c>
      <x:c r="D174" t="str">
        <x:v>Publisher B (blinded)</x:v>
      </x:c>
      <x:c r="E174" t="n">
        <x:v>16</x:v>
      </x:c>
      <x:c r="F174" t="n">
        <x:v>15</x:v>
      </x:c>
      <x:c r="G174" t="n">
        <x:v>14</x:v>
      </x:c>
      <x:c r="H174" t="n">
        <x:v>9</x:v>
      </x:c>
      <x:c r="I174" t="n">
        <x:v>0</x:v>
      </x:c>
      <x:c r="J174" t="n">
        <x:v>5</x:v>
      </x:c>
      <x:c r="K174" t="n">
        <x:v>0</x:v>
      </x:c>
      <x:c r="L174" t="n">
        <x:v>0</x:v>
      </x:c>
      <x:c r="M174" t="n">
        <x:v>47</x:v>
      </x:c>
      <x:c r="N174" t="n">
        <x:v>0</x:v>
      </x:c>
      <x:c r="O174" t="n">
        <x:v>0</x:v>
      </x:c>
      <x:c r="P174" t="n">
        <x:v>1</x:v>
      </x:c>
      <x:c r="Q174" t="n">
        <x:v>1</x:v>
      </x:c>
      <x:c r="R174" s="89" t="n">
        <x:f>IFERROR(F174/E174,0)</x:f>
        <x:v>0.9375</x:v>
      </x:c>
      <x:c r="S174" s="89" t="n">
        <x:f>IFERROR(G174/F174,0)</x:f>
        <x:v>0.9333333333333333</x:v>
      </x:c>
      <x:c r="T174" s="89" t="n">
        <x:f>IFERROR((H174+2*I174+3*J174+4*K174+5*L174)/(5*M174),0)</x:f>
        <x:v>0.10212765957446808</x:v>
      </x:c>
      <x:c r="U174" t="n">
        <x:f>SUM(O174:Q174)</x:f>
        <x:v>2</x:v>
      </x:c>
      <x:c r="V174" s="89" t="n">
        <x:f>0.3*S174+0.3*R174+0.3*(1-T174)-0.1*N174</x:f>
        <x:v>0.8306117021276596</x:v>
      </x:c>
    </x:row>
    <x:row r="175">
      <x:c r="A175" t="n">
        <x:v>87</x:v>
      </x:c>
      <x:c r="B175" t="str">
        <x:v>Television</x:v>
      </x:c>
      <x:c r="C175" t="str">
        <x:v>A</x:v>
      </x:c>
      <x:c r="D175" t="str">
        <x:v>Publisher A (blinded)</x:v>
      </x:c>
      <x:c r="E175" t="n">
        <x:v>16</x:v>
      </x:c>
      <x:c r="F175" t="n">
        <x:v>14</x:v>
      </x:c>
      <x:c r="G175" t="n">
        <x:v>12</x:v>
      </x:c>
      <x:c r="H175" t="n">
        <x:v>7</x:v>
      </x:c>
      <x:c r="I175" t="n">
        <x:v>0</x:v>
      </x:c>
      <x:c r="J175" t="n">
        <x:v>3</x:v>
      </x:c>
      <x:c r="K175" t="n">
        <x:v>3</x:v>
      </x:c>
      <x:c r="L175" t="n">
        <x:v>0</x:v>
      </x:c>
      <x:c r="M175" t="n">
        <x:v>56</x:v>
      </x:c>
      <x:c r="N175" t="n">
        <x:v>1</x:v>
      </x:c>
      <x:c r="O175" t="n">
        <x:v>0</x:v>
      </x:c>
      <x:c r="P175" t="n">
        <x:v>1</x:v>
      </x:c>
      <x:c r="Q175" t="n">
        <x:v>1</x:v>
      </x:c>
      <x:c r="R175" s="89" t="n">
        <x:f>IFERROR(F175/E175,0)</x:f>
        <x:v>0.875</x:v>
      </x:c>
      <x:c r="S175" s="89" t="n">
        <x:f>IFERROR(G175/F175,0)</x:f>
        <x:v>0.8571428571428571</x:v>
      </x:c>
      <x:c r="T175" s="89" t="n">
        <x:f>IFERROR((H175+2*I175+3*J175+4*K175+5*L175)/(5*M175),0)</x:f>
        <x:v>0.1</x:v>
      </x:c>
      <x:c r="U175" t="n">
        <x:f>SUM(O175:Q175)</x:f>
        <x:v>2</x:v>
      </x:c>
      <x:c r="V175" s="89" t="n">
        <x:f>0.3*S175+0.3*R175+0.3*(1-T175)-0.1*N175</x:f>
        <x:v>0.6896428571428571</x:v>
      </x:c>
    </x:row>
    <x:row r="176">
      <x:c r="A176" t="n">
        <x:v>87</x:v>
      </x:c>
      <x:c r="B176" t="str">
        <x:v>Television</x:v>
      </x:c>
      <x:c r="C176" t="str">
        <x:v>B</x:v>
      </x:c>
      <x:c r="D176" t="str">
        <x:v>Publisher B (blinded)</x:v>
      </x:c>
      <x:c r="E176" t="n">
        <x:v>16</x:v>
      </x:c>
      <x:c r="F176" t="n">
        <x:v>10</x:v>
      </x:c>
      <x:c r="G176" t="n">
        <x:v>9</x:v>
      </x:c>
      <x:c r="H176" t="n">
        <x:v>5</x:v>
      </x:c>
      <x:c r="I176" t="n">
        <x:v>0</x:v>
      </x:c>
      <x:c r="J176" t="n">
        <x:v>6</x:v>
      </x:c>
      <x:c r="K176" t="n">
        <x:v>0</x:v>
      </x:c>
      <x:c r="L176" t="n">
        <x:v>1</x:v>
      </x:c>
      <x:c r="M176" t="n">
        <x:v>35</x:v>
      </x:c>
      <x:c r="N176" t="n">
        <x:v>0</x:v>
      </x:c>
      <x:c r="O176" t="n">
        <x:v>0</x:v>
      </x:c>
      <x:c r="P176" t="n">
        <x:v>1</x:v>
      </x:c>
      <x:c r="Q176" t="n">
        <x:v>1</x:v>
      </x:c>
      <x:c r="R176" s="89" t="n">
        <x:f>IFERROR(F176/E176,0)</x:f>
        <x:v>0.625</x:v>
      </x:c>
      <x:c r="S176" s="89" t="n">
        <x:f>IFERROR(G176/F176,0)</x:f>
        <x:v>0.9</x:v>
      </x:c>
      <x:c r="T176" s="89" t="n">
        <x:f>IFERROR((H176+2*I176+3*J176+4*K176+5*L176)/(5*M176),0)</x:f>
        <x:v>0.16</x:v>
      </x:c>
      <x:c r="U176" t="n">
        <x:f>SUM(O176:Q176)</x:f>
        <x:v>2</x:v>
      </x:c>
      <x:c r="V176" s="89" t="n">
        <x:f>0.3*S176+0.3*R176+0.3*(1-T176)-0.1*N176</x:f>
        <x:v>0.7095</x:v>
      </x:c>
    </x:row>
    <x:row r="177">
      <x:c r="A177" t="n">
        <x:v>88</x:v>
      </x:c>
      <x:c r="B177" t="str">
        <x:v>Sunscreen</x:v>
      </x:c>
      <x:c r="C177" t="str">
        <x:v>A</x:v>
      </x:c>
      <x:c r="D177" t="str">
        <x:v>Publisher A (blinded)</x:v>
      </x:c>
      <x:c r="E177" t="n">
        <x:v>15</x:v>
      </x:c>
      <x:c r="F177" t="n">
        <x:v>13</x:v>
      </x:c>
      <x:c r="G177" t="n">
        <x:v>12</x:v>
      </x:c>
      <x:c r="H177" t="n">
        <x:v>6</x:v>
      </x:c>
      <x:c r="I177" t="n">
        <x:v>0</x:v>
      </x:c>
      <x:c r="J177" t="n">
        <x:v>2</x:v>
      </x:c>
      <x:c r="K177" t="n">
        <x:v>0</x:v>
      </x:c>
      <x:c r="L177" t="n">
        <x:v>2</x:v>
      </x:c>
      <x:c r="M177" t="n">
        <x:v>57</x:v>
      </x:c>
      <x:c r="N177" t="n">
        <x:v>0</x:v>
      </x:c>
      <x:c r="O177" t="n">
        <x:v>0</x:v>
      </x:c>
      <x:c r="P177" t="n">
        <x:v>1</x:v>
      </x:c>
      <x:c r="Q177" t="n">
        <x:v>1</x:v>
      </x:c>
      <x:c r="R177" s="89" t="n">
        <x:f>IFERROR(F177/E177,0)</x:f>
        <x:v>0.8666666666666667</x:v>
      </x:c>
      <x:c r="S177" s="89" t="n">
        <x:f>IFERROR(G177/F177,0)</x:f>
        <x:v>0.9230769230769231</x:v>
      </x:c>
      <x:c r="T177" s="89" t="n">
        <x:f>IFERROR((H177+2*I177+3*J177+4*K177+5*L177)/(5*M177),0)</x:f>
        <x:v>0.07719298245614035</x:v>
      </x:c>
      <x:c r="U177" t="n">
        <x:f>SUM(O177:Q177)</x:f>
        <x:v>2</x:v>
      </x:c>
      <x:c r="V177" s="89" t="n">
        <x:f>0.3*S177+0.3*R177+0.3*(1-T177)-0.1*N177</x:f>
        <x:v>0.8137651821862348</x:v>
      </x:c>
    </x:row>
    <x:row r="178">
      <x:c r="A178" t="n">
        <x:v>88</x:v>
      </x:c>
      <x:c r="B178" t="str">
        <x:v>Sunscreen</x:v>
      </x:c>
      <x:c r="C178" t="str">
        <x:v>B</x:v>
      </x:c>
      <x:c r="D178" t="str">
        <x:v>Publisher B (blinded)</x:v>
      </x:c>
      <x:c r="E178" t="n">
        <x:v>15</x:v>
      </x:c>
      <x:c r="F178" t="n">
        <x:v>14</x:v>
      </x:c>
      <x:c r="G178" t="n">
        <x:v>13</x:v>
      </x:c>
      <x:c r="H178" t="n">
        <x:v>9</x:v>
      </x:c>
      <x:c r="I178" t="n">
        <x:v>0</x:v>
      </x:c>
      <x:c r="J178" t="n">
        <x:v>0</x:v>
      </x:c>
      <x:c r="K178" t="n">
        <x:v>0</x:v>
      </x:c>
      <x:c r="L178" t="n">
        <x:v>1</x:v>
      </x:c>
      <x:c r="M178" t="n">
        <x:v>56</x:v>
      </x:c>
      <x:c r="N178" t="n">
        <x:v>1</x:v>
      </x:c>
      <x:c r="O178" t="n">
        <x:v>0</x:v>
      </x:c>
      <x:c r="P178" t="n">
        <x:v>1</x:v>
      </x:c>
      <x:c r="Q178" t="n">
        <x:v>1</x:v>
      </x:c>
      <x:c r="R178" s="89" t="n">
        <x:f>IFERROR(F178/E178,0)</x:f>
        <x:v>0.9333333333333333</x:v>
      </x:c>
      <x:c r="S178" s="89" t="n">
        <x:f>IFERROR(G178/F178,0)</x:f>
        <x:v>0.9285714285714286</x:v>
      </x:c>
      <x:c r="T178" s="89" t="n">
        <x:f>IFERROR((H178+2*I178+3*J178+4*K178+5*L178)/(5*M178),0)</x:f>
        <x:v>0.05</x:v>
      </x:c>
      <x:c r="U178" t="n">
        <x:f>SUM(O178:Q178)</x:f>
        <x:v>2</x:v>
      </x:c>
      <x:c r="V178" s="89" t="n">
        <x:f>0.3*S178+0.3*R178+0.3*(1-T178)-0.1*N178</x:f>
        <x:v>0.7435714285714284</x:v>
      </x:c>
    </x:row>
    <x:row r="179">
      <x:c r="A179" t="n">
        <x:v>89</x:v>
      </x:c>
      <x:c r="B179" t="str">
        <x:v>Air Purifier</x:v>
      </x:c>
      <x:c r="C179" t="str">
        <x:v>A</x:v>
      </x:c>
      <x:c r="D179" t="str">
        <x:v>Publisher A (blinded)</x:v>
      </x:c>
      <x:c r="E179" t="n">
        <x:v>16</x:v>
      </x:c>
      <x:c r="F179" t="n">
        <x:v>14</x:v>
      </x:c>
      <x:c r="G179" t="n">
        <x:v>12</x:v>
      </x:c>
      <x:c r="H179" t="n">
        <x:v>9</x:v>
      </x:c>
      <x:c r="I179" t="n">
        <x:v>0</x:v>
      </x:c>
      <x:c r="J179" t="n">
        <x:v>5</x:v>
      </x:c>
      <x:c r="K179" t="n">
        <x:v>3</x:v>
      </x:c>
      <x:c r="L179" t="n">
        <x:v>0</x:v>
      </x:c>
      <x:c r="M179" t="n">
        <x:v>57</x:v>
      </x:c>
      <x:c r="N179" t="n">
        <x:v>1</x:v>
      </x:c>
      <x:c r="O179" t="n">
        <x:v>0</x:v>
      </x:c>
      <x:c r="P179" t="n">
        <x:v>1</x:v>
      </x:c>
      <x:c r="Q179" t="n">
        <x:v>1</x:v>
      </x:c>
      <x:c r="R179" s="89" t="n">
        <x:f>IFERROR(F179/E179,0)</x:f>
        <x:v>0.875</x:v>
      </x:c>
      <x:c r="S179" s="89" t="n">
        <x:f>IFERROR(G179/F179,0)</x:f>
        <x:v>0.8571428571428571</x:v>
      </x:c>
      <x:c r="T179" s="89" t="n">
        <x:f>IFERROR((H179+2*I179+3*J179+4*K179+5*L179)/(5*M179),0)</x:f>
        <x:v>0.12631578947368421</x:v>
      </x:c>
      <x:c r="U179" t="n">
        <x:f>SUM(O179:Q179)</x:f>
        <x:v>2</x:v>
      </x:c>
      <x:c r="V179" s="89" t="n">
        <x:f>0.3*S179+0.3*R179+0.3*(1-T179)-0.1*N179</x:f>
        <x:v>0.6817481203007518</x:v>
      </x:c>
    </x:row>
    <x:row r="180">
      <x:c r="A180" t="n">
        <x:v>89</x:v>
      </x:c>
      <x:c r="B180" t="str">
        <x:v>Air Purifier</x:v>
      </x:c>
      <x:c r="C180" t="str">
        <x:v>B</x:v>
      </x:c>
      <x:c r="D180" t="str">
        <x:v>Publisher B (blinded)</x:v>
      </x:c>
      <x:c r="E180" t="n">
        <x:v>16</x:v>
      </x:c>
      <x:c r="F180" t="n">
        <x:v>13</x:v>
      </x:c>
      <x:c r="G180" t="n">
        <x:v>11</x:v>
      </x:c>
      <x:c r="H180" t="n">
        <x:v>10</x:v>
      </x:c>
      <x:c r="I180" t="n">
        <x:v>0</x:v>
      </x:c>
      <x:c r="J180" t="n">
        <x:v>1</x:v>
      </x:c>
      <x:c r="K180" t="n">
        <x:v>1</x:v>
      </x:c>
      <x:c r="L180" t="n">
        <x:v>0</x:v>
      </x:c>
      <x:c r="M180" t="n">
        <x:v>67</x:v>
      </x:c>
      <x:c r="N180" t="n">
        <x:v>1</x:v>
      </x:c>
      <x:c r="O180" t="n">
        <x:v>0</x:v>
      </x:c>
      <x:c r="P180" t="n">
        <x:v>1</x:v>
      </x:c>
      <x:c r="Q180" t="n">
        <x:v>1</x:v>
      </x:c>
      <x:c r="R180" s="89" t="n">
        <x:f>IFERROR(F180/E180,0)</x:f>
        <x:v>0.8125</x:v>
      </x:c>
      <x:c r="S180" s="89" t="n">
        <x:f>IFERROR(G180/F180,0)</x:f>
        <x:v>0.8461538461538461</x:v>
      </x:c>
      <x:c r="T180" s="89" t="n">
        <x:f>IFERROR((H180+2*I180+3*J180+4*K180+5*L180)/(5*M180),0)</x:f>
        <x:v>0.050746268656716415</x:v>
      </x:c>
      <x:c r="U180" t="n">
        <x:f>SUM(O180:Q180)</x:f>
        <x:v>2</x:v>
      </x:c>
      <x:c r="V180" s="89" t="n">
        <x:f>0.3*S180+0.3*R180+0.3*(1-T180)-0.1*N180</x:f>
        <x:v>0.682372273249139</x:v>
      </x:c>
    </x:row>
    <x:row r="181">
      <x:c r="A181" t="n">
        <x:v>90</x:v>
      </x:c>
      <x:c r="B181" t="str">
        <x:v>Electric Pressure Cooker</x:v>
      </x:c>
      <x:c r="C181" t="str">
        <x:v>A</x:v>
      </x:c>
      <x:c r="D181" t="str">
        <x:v>Publisher A (blinded)</x:v>
      </x:c>
      <x:c r="E181" t="n">
        <x:v>14</x:v>
      </x:c>
      <x:c r="F181" t="n">
        <x:v>14</x:v>
      </x:c>
      <x:c r="G181" t="n">
        <x:v>12</x:v>
      </x:c>
      <x:c r="H181" t="n">
        <x:v>10</x:v>
      </x:c>
      <x:c r="I181" t="n">
        <x:v>0</x:v>
      </x:c>
      <x:c r="J181" t="n">
        <x:v>4</x:v>
      </x:c>
      <x:c r="K181" t="n">
        <x:v>4</x:v>
      </x:c>
      <x:c r="L181" t="n">
        <x:v>0</x:v>
      </x:c>
      <x:c r="M181" t="n">
        <x:v>55</x:v>
      </x:c>
      <x:c r="N181" t="n">
        <x:v>1</x:v>
      </x:c>
      <x:c r="O181" t="n">
        <x:v>0</x:v>
      </x:c>
      <x:c r="P181" t="n">
        <x:v>1</x:v>
      </x:c>
      <x:c r="Q181" t="n">
        <x:v>0</x:v>
      </x:c>
      <x:c r="R181" s="89" t="n">
        <x:f>IFERROR(F181/E181,0)</x:f>
        <x:v>1</x:v>
      </x:c>
      <x:c r="S181" s="89" t="n">
        <x:f>IFERROR(G181/F181,0)</x:f>
        <x:v>0.8571428571428571</x:v>
      </x:c>
      <x:c r="T181" s="89" t="n">
        <x:f>IFERROR((H181+2*I181+3*J181+4*K181+5*L181)/(5*M181),0)</x:f>
        <x:v>0.13818181818181818</x:v>
      </x:c>
      <x:c r="U181" t="n">
        <x:f>SUM(O181:Q181)</x:f>
        <x:v>1</x:v>
      </x:c>
      <x:c r="V181" s="89" t="n">
        <x:f>0.3*S181+0.3*R181+0.3*(1-T181)-0.1*N181</x:f>
        <x:v>0.7156883116883117</x:v>
      </x:c>
    </x:row>
    <x:row r="182">
      <x:c r="A182" t="n">
        <x:v>90</x:v>
      </x:c>
      <x:c r="B182" t="str">
        <x:v>Electric Pressure Cooker</x:v>
      </x:c>
      <x:c r="C182" t="str">
        <x:v>B</x:v>
      </x:c>
      <x:c r="D182" t="str">
        <x:v>Publisher B (blinded)</x:v>
      </x:c>
      <x:c r="E182" t="n">
        <x:v>14</x:v>
      </x:c>
      <x:c r="F182" t="n">
        <x:v>14</x:v>
      </x:c>
      <x:c r="G182" t="n">
        <x:v>13</x:v>
      </x:c>
      <x:c r="H182" t="n">
        <x:v>6</x:v>
      </x:c>
      <x:c r="I182" t="n">
        <x:v>0</x:v>
      </x:c>
      <x:c r="J182" t="n">
        <x:v>1</x:v>
      </x:c>
      <x:c r="K182" t="n">
        <x:v>1</x:v>
      </x:c>
      <x:c r="L182" t="n">
        <x:v>1</x:v>
      </x:c>
      <x:c r="M182" t="n">
        <x:v>46</x:v>
      </x:c>
      <x:c r="N182" t="n">
        <x:v>0</x:v>
      </x:c>
      <x:c r="O182" t="n">
        <x:v>0</x:v>
      </x:c>
      <x:c r="P182" t="n">
        <x:v>1</x:v>
      </x:c>
      <x:c r="Q182" t="n">
        <x:v>0</x:v>
      </x:c>
      <x:c r="R182" s="89" t="n">
        <x:f>IFERROR(F182/E182,0)</x:f>
        <x:v>1</x:v>
      </x:c>
      <x:c r="S182" s="89" t="n">
        <x:f>IFERROR(G182/F182,0)</x:f>
        <x:v>0.9285714285714286</x:v>
      </x:c>
      <x:c r="T182" s="89" t="n">
        <x:f>IFERROR((H182+2*I182+3*J182+4*K182+5*L182)/(5*M182),0)</x:f>
        <x:v>0.0782608695652174</x:v>
      </x:c>
      <x:c r="U182" t="n">
        <x:f>SUM(O182:Q182)</x:f>
        <x:v>1</x:v>
      </x:c>
      <x:c r="V182" s="89" t="n">
        <x:f>0.3*S182+0.3*R182+0.3*(1-T182)-0.1*N182</x:f>
        <x:v>0.8550931677018633</x:v>
      </x:c>
    </x:row>
    <x:row r="183">
      <x:c r="A183" t="n">
        <x:v>91</x:v>
      </x:c>
      <x:c r="B183" t="str">
        <x:v>Office Chair</x:v>
      </x:c>
      <x:c r="C183" t="str">
        <x:v>A</x:v>
      </x:c>
      <x:c r="D183" t="str">
        <x:v>Publisher A (blinded)</x:v>
      </x:c>
      <x:c r="E183" t="n">
        <x:v>15</x:v>
      </x:c>
      <x:c r="F183" t="n">
        <x:v>13</x:v>
      </x:c>
      <x:c r="G183" t="n">
        <x:v>12</x:v>
      </x:c>
      <x:c r="H183" t="n">
        <x:v>8</x:v>
      </x:c>
      <x:c r="I183" t="n">
        <x:v>0</x:v>
      </x:c>
      <x:c r="J183" t="n">
        <x:v>7</x:v>
      </x:c>
      <x:c r="K183" t="n">
        <x:v>0</x:v>
      </x:c>
      <x:c r="L183" t="n">
        <x:v>1</x:v>
      </x:c>
      <x:c r="M183" t="n">
        <x:v>48</x:v>
      </x:c>
      <x:c r="N183" t="n">
        <x:v>1</x:v>
      </x:c>
      <x:c r="O183" t="n">
        <x:v>0</x:v>
      </x:c>
      <x:c r="P183" t="n">
        <x:v>1</x:v>
      </x:c>
      <x:c r="Q183" t="n">
        <x:v>1</x:v>
      </x:c>
      <x:c r="R183" s="89" t="n">
        <x:f>IFERROR(F183/E183,0)</x:f>
        <x:v>0.8666666666666667</x:v>
      </x:c>
      <x:c r="S183" s="89" t="n">
        <x:f>IFERROR(G183/F183,0)</x:f>
        <x:v>0.9230769230769231</x:v>
      </x:c>
      <x:c r="T183" s="89" t="n">
        <x:f>IFERROR((H183+2*I183+3*J183+4*K183+5*L183)/(5*M183),0)</x:f>
        <x:v>0.14166666666666666</x:v>
      </x:c>
      <x:c r="U183" t="n">
        <x:f>SUM(O183:Q183)</x:f>
        <x:v>2</x:v>
      </x:c>
      <x:c r="V183" s="89" t="n">
        <x:f>0.3*S183+0.3*R183+0.3*(1-T183)-0.1*N183</x:f>
        <x:v>0.6944230769230769</x:v>
      </x:c>
    </x:row>
    <x:row r="184">
      <x:c r="A184" t="n">
        <x:v>91</x:v>
      </x:c>
      <x:c r="B184" t="str">
        <x:v>Office Chair</x:v>
      </x:c>
      <x:c r="C184" t="str">
        <x:v>B</x:v>
      </x:c>
      <x:c r="D184" t="str">
        <x:v>Publisher B (blinded)</x:v>
      </x:c>
      <x:c r="E184" t="n">
        <x:v>15</x:v>
      </x:c>
      <x:c r="F184" t="n">
        <x:v>15</x:v>
      </x:c>
      <x:c r="G184" t="n">
        <x:v>13</x:v>
      </x:c>
      <x:c r="H184" t="n">
        <x:v>5</x:v>
      </x:c>
      <x:c r="I184" t="n">
        <x:v>1</x:v>
      </x:c>
      <x:c r="J184" t="n">
        <x:v>0</x:v>
      </x:c>
      <x:c r="K184" t="n">
        <x:v>0</x:v>
      </x:c>
      <x:c r="L184" t="n">
        <x:v>2</x:v>
      </x:c>
      <x:c r="M184" t="n">
        <x:v>54</x:v>
      </x:c>
      <x:c r="N184" t="n">
        <x:v>1</x:v>
      </x:c>
      <x:c r="O184" t="n">
        <x:v>0</x:v>
      </x:c>
      <x:c r="P184" t="n">
        <x:v>1</x:v>
      </x:c>
      <x:c r="Q184" t="n">
        <x:v>0</x:v>
      </x:c>
      <x:c r="R184" s="89" t="n">
        <x:f>IFERROR(F184/E184,0)</x:f>
        <x:v>1</x:v>
      </x:c>
      <x:c r="S184" s="89" t="n">
        <x:f>IFERROR(G184/F184,0)</x:f>
        <x:v>0.8666666666666667</x:v>
      </x:c>
      <x:c r="T184" s="89" t="n">
        <x:f>IFERROR((H184+2*I184+3*J184+4*K184+5*L184)/(5*M184),0)</x:f>
        <x:v>0.06296296296296296</x:v>
      </x:c>
      <x:c r="U184" t="n">
        <x:f>SUM(O184:Q184)</x:f>
        <x:v>1</x:v>
      </x:c>
      <x:c r="V184" s="89" t="n">
        <x:f>0.3*S184+0.3*R184+0.3*(1-T184)-0.1*N184</x:f>
        <x:v>0.7411111111111112</x:v>
      </x:c>
    </x:row>
    <x:row r="185">
      <x:c r="A185" t="n">
        <x:v>92</x:v>
      </x:c>
      <x:c r="B185" t="str">
        <x:v>Refrigerator Water Filters</x:v>
      </x:c>
      <x:c r="C185" t="str">
        <x:v>A</x:v>
      </x:c>
      <x:c r="D185" t="str">
        <x:v>Publisher A (blinded)</x:v>
      </x:c>
      <x:c r="E185" t="n">
        <x:v>14</x:v>
      </x:c>
      <x:c r="F185" t="n">
        <x:v>10</x:v>
      </x:c>
      <x:c r="G185" t="n">
        <x:v>9</x:v>
      </x:c>
      <x:c r="H185" t="n">
        <x:v>5</x:v>
      </x:c>
      <x:c r="I185" t="n">
        <x:v>0</x:v>
      </x:c>
      <x:c r="J185" t="n">
        <x:v>1</x:v>
      </x:c>
      <x:c r="K185" t="n">
        <x:v>2</x:v>
      </x:c>
      <x:c r="L185" t="n">
        <x:v>0</x:v>
      </x:c>
      <x:c r="M185" t="n">
        <x:v>40</x:v>
      </x:c>
      <x:c r="N185" t="n">
        <x:v>1</x:v>
      </x:c>
      <x:c r="O185" t="n">
        <x:v>0</x:v>
      </x:c>
      <x:c r="P185" t="n">
        <x:v>1</x:v>
      </x:c>
      <x:c r="Q185" t="n">
        <x:v>1</x:v>
      </x:c>
      <x:c r="R185" s="89" t="n">
        <x:f>IFERROR(F185/E185,0)</x:f>
        <x:v>0.7142857142857143</x:v>
      </x:c>
      <x:c r="S185" s="89" t="n">
        <x:f>IFERROR(G185/F185,0)</x:f>
        <x:v>0.9</x:v>
      </x:c>
      <x:c r="T185" s="89" t="n">
        <x:f>IFERROR((H185+2*I185+3*J185+4*K185+5*L185)/(5*M185),0)</x:f>
        <x:v>0.08</x:v>
      </x:c>
      <x:c r="U185" t="n">
        <x:f>SUM(O185:Q185)</x:f>
        <x:v>2</x:v>
      </x:c>
      <x:c r="V185" s="89" t="n">
        <x:f>0.3*S185+0.3*R185+0.3*(1-T185)-0.1*N185</x:f>
        <x:v>0.6602857142857144</x:v>
      </x:c>
    </x:row>
    <x:row r="186">
      <x:c r="A186" t="n">
        <x:v>92</x:v>
      </x:c>
      <x:c r="B186" t="str">
        <x:v>Refrigerator Water Filters</x:v>
      </x:c>
      <x:c r="C186" t="str">
        <x:v>B</x:v>
      </x:c>
      <x:c r="D186" t="str">
        <x:v>Publisher B (blinded)</x:v>
      </x:c>
      <x:c r="E186" t="n">
        <x:v>14</x:v>
      </x:c>
      <x:c r="F186" t="n">
        <x:v>14</x:v>
      </x:c>
      <x:c r="G186" t="n">
        <x:v>14</x:v>
      </x:c>
      <x:c r="H186" t="n">
        <x:v>4</x:v>
      </x:c>
      <x:c r="I186" t="n">
        <x:v>0</x:v>
      </x:c>
      <x:c r="J186" t="n">
        <x:v>2</x:v>
      </x:c>
      <x:c r="K186" t="n">
        <x:v>0</x:v>
      </x:c>
      <x:c r="L186" t="n">
        <x:v>0</x:v>
      </x:c>
      <x:c r="M186" t="n">
        <x:v>38</x:v>
      </x:c>
      <x:c r="N186" t="n">
        <x:v>0</x:v>
      </x:c>
      <x:c r="O186" t="n">
        <x:v>0</x:v>
      </x:c>
      <x:c r="P186" t="n">
        <x:v>1</x:v>
      </x:c>
      <x:c r="Q186" t="n">
        <x:v>0</x:v>
      </x:c>
      <x:c r="R186" s="89" t="n">
        <x:f>IFERROR(F186/E186,0)</x:f>
        <x:v>1</x:v>
      </x:c>
      <x:c r="S186" s="89" t="n">
        <x:f>IFERROR(G186/F186,0)</x:f>
        <x:v>1</x:v>
      </x:c>
      <x:c r="T186" s="89" t="n">
        <x:f>IFERROR((H186+2*I186+3*J186+4*K186+5*L186)/(5*M186),0)</x:f>
        <x:v>0.05263157894736842</x:v>
      </x:c>
      <x:c r="U186" t="n">
        <x:f>SUM(O186:Q186)</x:f>
        <x:v>1</x:v>
      </x:c>
      <x:c r="V186" s="89" t="n">
        <x:f>0.3*S186+0.3*R186+0.3*(1-T186)-0.1*N186</x:f>
        <x:v>0.8842105263157894</x:v>
      </x:c>
    </x:row>
    <x:row r="187">
      <x:c r="A187" t="n">
        <x:v>93</x:v>
      </x:c>
      <x:c r="B187" t="str">
        <x:v>Home Router</x:v>
      </x:c>
      <x:c r="C187" t="str">
        <x:v>A</x:v>
      </x:c>
      <x:c r="D187" t="str">
        <x:v>Publisher A (blinded)</x:v>
      </x:c>
      <x:c r="E187" t="n">
        <x:v>16</x:v>
      </x:c>
      <x:c r="F187" t="n">
        <x:v>14</x:v>
      </x:c>
      <x:c r="G187" t="n">
        <x:v>12</x:v>
      </x:c>
      <x:c r="H187" t="n">
        <x:v>7</x:v>
      </x:c>
      <x:c r="I187" t="n">
        <x:v>0</x:v>
      </x:c>
      <x:c r="J187" t="n">
        <x:v>4</x:v>
      </x:c>
      <x:c r="K187" t="n">
        <x:v>1</x:v>
      </x:c>
      <x:c r="L187" t="n">
        <x:v>0</x:v>
      </x:c>
      <x:c r="M187" t="n">
        <x:v>69</x:v>
      </x:c>
      <x:c r="N187" t="n">
        <x:v>1</x:v>
      </x:c>
      <x:c r="O187" t="n">
        <x:v>0</x:v>
      </x:c>
      <x:c r="P187" t="n">
        <x:v>1</x:v>
      </x:c>
      <x:c r="Q187" t="n">
        <x:v>1</x:v>
      </x:c>
      <x:c r="R187" s="89" t="n">
        <x:f>IFERROR(F187/E187,0)</x:f>
        <x:v>0.875</x:v>
      </x:c>
      <x:c r="S187" s="89" t="n">
        <x:f>IFERROR(G187/F187,0)</x:f>
        <x:v>0.8571428571428571</x:v>
      </x:c>
      <x:c r="T187" s="89" t="n">
        <x:f>IFERROR((H187+2*I187+3*J187+4*K187+5*L187)/(5*M187),0)</x:f>
        <x:v>0.06666666666666667</x:v>
      </x:c>
      <x:c r="U187" t="n">
        <x:f>SUM(O187:Q187)</x:f>
        <x:v>2</x:v>
      </x:c>
      <x:c r="V187" s="89" t="n">
        <x:f>0.3*S187+0.3*R187+0.3*(1-T187)-0.1*N187</x:f>
        <x:v>0.6996428571428571</x:v>
      </x:c>
    </x:row>
    <x:row r="188">
      <x:c r="A188" t="n">
        <x:v>93</x:v>
      </x:c>
      <x:c r="B188" t="str">
        <x:v>Home Router</x:v>
      </x:c>
      <x:c r="C188" t="str">
        <x:v>B</x:v>
      </x:c>
      <x:c r="D188" t="str">
        <x:v>Publisher B (blinded)</x:v>
      </x:c>
      <x:c r="E188" t="n">
        <x:v>16</x:v>
      </x:c>
      <x:c r="F188" t="n">
        <x:v>14</x:v>
      </x:c>
      <x:c r="G188" t="n">
        <x:v>13</x:v>
      </x:c>
      <x:c r="H188" t="n">
        <x:v>10</x:v>
      </x:c>
      <x:c r="I188" t="n">
        <x:v>0</x:v>
      </x:c>
      <x:c r="J188" t="n">
        <x:v>3</x:v>
      </x:c>
      <x:c r="K188" t="n">
        <x:v>0</x:v>
      </x:c>
      <x:c r="L188" t="n">
        <x:v>0</x:v>
      </x:c>
      <x:c r="M188" t="n">
        <x:v>71</x:v>
      </x:c>
      <x:c r="N188" t="n">
        <x:v>0</x:v>
      </x:c>
      <x:c r="O188" t="n">
        <x:v>0</x:v>
      </x:c>
      <x:c r="P188" t="n">
        <x:v>1</x:v>
      </x:c>
      <x:c r="Q188" t="n">
        <x:v>1</x:v>
      </x:c>
      <x:c r="R188" s="89" t="n">
        <x:f>IFERROR(F188/E188,0)</x:f>
        <x:v>0.875</x:v>
      </x:c>
      <x:c r="S188" s="89" t="n">
        <x:f>IFERROR(G188/F188,0)</x:f>
        <x:v>0.9285714285714286</x:v>
      </x:c>
      <x:c r="T188" s="89" t="n">
        <x:f>IFERROR((H188+2*I188+3*J188+4*K188+5*L188)/(5*M188),0)</x:f>
        <x:v>0.05352112676056338</x:v>
      </x:c>
      <x:c r="U188" t="n">
        <x:f>SUM(O188:Q188)</x:f>
        <x:v>2</x:v>
      </x:c>
      <x:c r="V188" s="89" t="n">
        <x:f>0.3*S188+0.3*R188+0.3*(1-T188)-0.1*N188</x:f>
        <x:v>0.8250150905432596</x:v>
      </x:c>
    </x:row>
    <x:row r="189">
      <x:c r="A189" t="n">
        <x:v>94</x:v>
      </x:c>
      <x:c r="B189" t="str">
        <x:v>Garden Lawn Mower</x:v>
      </x:c>
      <x:c r="C189" t="str">
        <x:v>A</x:v>
      </x:c>
      <x:c r="D189" t="str">
        <x:v>Publisher A (blinded)</x:v>
      </x:c>
      <x:c r="E189" t="n">
        <x:v>15</x:v>
      </x:c>
      <x:c r="F189" t="n">
        <x:v>14</x:v>
      </x:c>
      <x:c r="G189" t="n">
        <x:v>12</x:v>
      </x:c>
      <x:c r="H189" t="n">
        <x:v>11</x:v>
      </x:c>
      <x:c r="I189" t="n">
        <x:v>0</x:v>
      </x:c>
      <x:c r="J189" t="n">
        <x:v>6</x:v>
      </x:c>
      <x:c r="K189" t="n">
        <x:v>2</x:v>
      </x:c>
      <x:c r="L189" t="n">
        <x:v>3</x:v>
      </x:c>
      <x:c r="M189" t="n">
        <x:v>84</x:v>
      </x:c>
      <x:c r="N189" t="n">
        <x:v>1</x:v>
      </x:c>
      <x:c r="O189" t="n">
        <x:v>0</x:v>
      </x:c>
      <x:c r="P189" t="n">
        <x:v>1</x:v>
      </x:c>
      <x:c r="Q189" t="n">
        <x:v>1</x:v>
      </x:c>
      <x:c r="R189" s="89" t="n">
        <x:f>IFERROR(F189/E189,0)</x:f>
        <x:v>0.9333333333333333</x:v>
      </x:c>
      <x:c r="S189" s="89" t="n">
        <x:f>IFERROR(G189/F189,0)</x:f>
        <x:v>0.8571428571428571</x:v>
      </x:c>
      <x:c r="T189" s="89" t="n">
        <x:f>IFERROR((H189+2*I189+3*J189+4*K189+5*L189)/(5*M189),0)</x:f>
        <x:v>0.12380952380952381</x:v>
      </x:c>
      <x:c r="U189" t="n">
        <x:f>SUM(O189:Q189)</x:f>
        <x:v>2</x:v>
      </x:c>
      <x:c r="V189" s="89" t="n">
        <x:f>0.3*S189+0.3*R189+0.3*(1-T189)-0.1*N189</x:f>
        <x:v>0.7000000000000001</x:v>
      </x:c>
    </x:row>
    <x:row r="190">
      <x:c r="A190" t="n">
        <x:v>94</x:v>
      </x:c>
      <x:c r="B190" t="str">
        <x:v>Garden Lawn Mower</x:v>
      </x:c>
      <x:c r="C190" t="str">
        <x:v>B</x:v>
      </x:c>
      <x:c r="D190" t="str">
        <x:v>Publisher B (blinded)</x:v>
      </x:c>
      <x:c r="E190" t="n">
        <x:v>15</x:v>
      </x:c>
      <x:c r="F190" t="n">
        <x:v>14</x:v>
      </x:c>
      <x:c r="G190" t="n">
        <x:v>12</x:v>
      </x:c>
      <x:c r="H190" t="n">
        <x:v>11</x:v>
      </x:c>
      <x:c r="I190" t="n">
        <x:v>0</x:v>
      </x:c>
      <x:c r="J190" t="n">
        <x:v>7</x:v>
      </x:c>
      <x:c r="K190" t="n">
        <x:v>1</x:v>
      </x:c>
      <x:c r="L190" t="n">
        <x:v>1</x:v>
      </x:c>
      <x:c r="M190" t="n">
        <x:v>60</x:v>
      </x:c>
      <x:c r="N190" t="n">
        <x:v>1</x:v>
      </x:c>
      <x:c r="O190" t="n">
        <x:v>0</x:v>
      </x:c>
      <x:c r="P190" t="n">
        <x:v>1</x:v>
      </x:c>
      <x:c r="Q190" t="n">
        <x:v>1</x:v>
      </x:c>
      <x:c r="R190" s="89" t="n">
        <x:f>IFERROR(F190/E190,0)</x:f>
        <x:v>0.9333333333333333</x:v>
      </x:c>
      <x:c r="S190" s="89" t="n">
        <x:f>IFERROR(G190/F190,0)</x:f>
        <x:v>0.8571428571428571</x:v>
      </x:c>
      <x:c r="T190" s="89" t="n">
        <x:f>IFERROR((H190+2*I190+3*J190+4*K190+5*L190)/(5*M190),0)</x:f>
        <x:v>0.13666666666666666</x:v>
      </x:c>
      <x:c r="U190" t="n">
        <x:f>SUM(O190:Q190)</x:f>
        <x:v>2</x:v>
      </x:c>
      <x:c r="V190" s="89" t="n">
        <x:f>0.3*S190+0.3*R190+0.3*(1-T190)-0.1*N190</x:f>
        <x:v>0.6961428571428571</x:v>
      </x:c>
    </x:row>
    <x:row r="191">
      <x:c r="A191" t="n">
        <x:v>95</x:v>
      </x:c>
      <x:c r="B191" t="str">
        <x:v>Travel Luggage</x:v>
      </x:c>
      <x:c r="C191" t="str">
        <x:v>A</x:v>
      </x:c>
      <x:c r="D191" t="str">
        <x:v>Publisher A (blinded)</x:v>
      </x:c>
      <x:c r="E191" t="n">
        <x:v>16</x:v>
      </x:c>
      <x:c r="F191" t="n">
        <x:v>12</x:v>
      </x:c>
      <x:c r="G191" t="n">
        <x:v>10</x:v>
      </x:c>
      <x:c r="H191" t="n">
        <x:v>4</x:v>
      </x:c>
      <x:c r="I191" t="n">
        <x:v>0</x:v>
      </x:c>
      <x:c r="J191" t="n">
        <x:v>5</x:v>
      </x:c>
      <x:c r="K191" t="n">
        <x:v>1</x:v>
      </x:c>
      <x:c r="L191" t="n">
        <x:v>1</x:v>
      </x:c>
      <x:c r="M191" t="n">
        <x:v>40</x:v>
      </x:c>
      <x:c r="N191" t="n">
        <x:v>1</x:v>
      </x:c>
      <x:c r="O191" t="n">
        <x:v>0</x:v>
      </x:c>
      <x:c r="P191" t="n">
        <x:v>1</x:v>
      </x:c>
      <x:c r="Q191" t="n">
        <x:v>1</x:v>
      </x:c>
      <x:c r="R191" s="89" t="n">
        <x:f>IFERROR(F191/E191,0)</x:f>
        <x:v>0.75</x:v>
      </x:c>
      <x:c r="S191" s="89" t="n">
        <x:f>IFERROR(G191/F191,0)</x:f>
        <x:v>0.8333333333333334</x:v>
      </x:c>
      <x:c r="T191" s="89" t="n">
        <x:f>IFERROR((H191+2*I191+3*J191+4*K191+5*L191)/(5*M191),0)</x:f>
        <x:v>0.14</x:v>
      </x:c>
      <x:c r="U191" t="n">
        <x:f>SUM(O191:Q191)</x:f>
        <x:v>2</x:v>
      </x:c>
      <x:c r="V191" s="89" t="n">
        <x:f>0.3*S191+0.3*R191+0.3*(1-T191)-0.1*N191</x:f>
        <x:v>0.633</x:v>
      </x:c>
    </x:row>
    <x:row r="192">
      <x:c r="A192" t="n">
        <x:v>95</x:v>
      </x:c>
      <x:c r="B192" t="str">
        <x:v>Travel Luggage</x:v>
      </x:c>
      <x:c r="C192" t="str">
        <x:v>B</x:v>
      </x:c>
      <x:c r="D192" t="str">
        <x:v>Publisher B (blinded)</x:v>
      </x:c>
      <x:c r="E192" t="n">
        <x:v>16</x:v>
      </x:c>
      <x:c r="F192" t="n">
        <x:v>11</x:v>
      </x:c>
      <x:c r="G192" t="n">
        <x:v>11</x:v>
      </x:c>
      <x:c r="H192" t="n">
        <x:v>7</x:v>
      </x:c>
      <x:c r="I192" t="n">
        <x:v>2</x:v>
      </x:c>
      <x:c r="J192" t="n">
        <x:v>5</x:v>
      </x:c>
      <x:c r="K192" t="n">
        <x:v>0</x:v>
      </x:c>
      <x:c r="L192" t="n">
        <x:v>1</x:v>
      </x:c>
      <x:c r="M192" t="n">
        <x:v>55</x:v>
      </x:c>
      <x:c r="N192" t="n">
        <x:v>0</x:v>
      </x:c>
      <x:c r="O192" t="n">
        <x:v>0</x:v>
      </x:c>
      <x:c r="P192" t="n">
        <x:v>1</x:v>
      </x:c>
      <x:c r="Q192" t="n">
        <x:v>1</x:v>
      </x:c>
      <x:c r="R192" s="89" t="n">
        <x:f>IFERROR(F192/E192,0)</x:f>
        <x:v>0.6875</x:v>
      </x:c>
      <x:c r="S192" s="89" t="n">
        <x:f>IFERROR(G192/F192,0)</x:f>
        <x:v>1</x:v>
      </x:c>
      <x:c r="T192" s="89" t="n">
        <x:f>IFERROR((H192+2*I192+3*J192+4*K192+5*L192)/(5*M192),0)</x:f>
        <x:v>0.11272727272727273</x:v>
      </x:c>
      <x:c r="U192" t="n">
        <x:f>SUM(O192:Q192)</x:f>
        <x:v>2</x:v>
      </x:c>
      <x:c r="V192" s="89" t="n">
        <x:f>0.3*S192+0.3*R192+0.3*(1-T192)-0.1*N192</x:f>
        <x:v>0.7724318181818182</x:v>
      </x:c>
    </x:row>
    <x:row r="193">
      <x:c r="A193" t="n">
        <x:v>96</x:v>
      </x:c>
      <x:c r="B193" t="str">
        <x:v>Food Delivery Service</x:v>
      </x:c>
      <x:c r="C193" t="str">
        <x:v>A</x:v>
      </x:c>
      <x:c r="D193" t="str">
        <x:v>Publisher A (blinded)</x:v>
      </x:c>
      <x:c r="E193" t="n">
        <x:v>13</x:v>
      </x:c>
      <x:c r="F193" t="n">
        <x:v>13</x:v>
      </x:c>
      <x:c r="G193" t="n">
        <x:v>12</x:v>
      </x:c>
      <x:c r="H193" t="n">
        <x:v>3</x:v>
      </x:c>
      <x:c r="I193" t="n">
        <x:v>1</x:v>
      </x:c>
      <x:c r="J193" t="n">
        <x:v>2</x:v>
      </x:c>
      <x:c r="K193" t="n">
        <x:v>0</x:v>
      </x:c>
      <x:c r="L193" t="n">
        <x:v>0</x:v>
      </x:c>
      <x:c r="M193" t="n">
        <x:v>57</x:v>
      </x:c>
      <x:c r="N193" t="n">
        <x:v>0</x:v>
      </x:c>
      <x:c r="O193" t="n">
        <x:v>0</x:v>
      </x:c>
      <x:c r="P193" t="n">
        <x:v>1</x:v>
      </x:c>
      <x:c r="Q193" t="n">
        <x:v>0</x:v>
      </x:c>
      <x:c r="R193" s="89" t="n">
        <x:f>IFERROR(F193/E193,0)</x:f>
        <x:v>1</x:v>
      </x:c>
      <x:c r="S193" s="89" t="n">
        <x:f>IFERROR(G193/F193,0)</x:f>
        <x:v>0.9230769230769231</x:v>
      </x:c>
      <x:c r="T193" s="89" t="n">
        <x:f>IFERROR((H193+2*I193+3*J193+4*K193+5*L193)/(5*M193),0)</x:f>
        <x:v>0.03859649122807018</x:v>
      </x:c>
      <x:c r="U193" t="n">
        <x:f>SUM(O193:Q193)</x:f>
        <x:v>1</x:v>
      </x:c>
      <x:c r="V193" s="89" t="n">
        <x:f>0.3*S193+0.3*R193+0.3*(1-T193)-0.1*N193</x:f>
        <x:v>0.8653441295546558</x:v>
      </x:c>
    </x:row>
    <x:row r="194">
      <x:c r="A194" t="n">
        <x:v>96</x:v>
      </x:c>
      <x:c r="B194" t="str">
        <x:v>Food Delivery Service</x:v>
      </x:c>
      <x:c r="C194" t="str">
        <x:v>B</x:v>
      </x:c>
      <x:c r="D194" t="str">
        <x:v>Publisher B (blinded)</x:v>
      </x:c>
      <x:c r="E194" t="n">
        <x:v>13</x:v>
      </x:c>
      <x:c r="F194" t="n">
        <x:v>13</x:v>
      </x:c>
      <x:c r="G194" t="n">
        <x:v>12</x:v>
      </x:c>
      <x:c r="H194" t="n">
        <x:v>8</x:v>
      </x:c>
      <x:c r="I194" t="n">
        <x:v>0</x:v>
      </x:c>
      <x:c r="J194" t="n">
        <x:v>6</x:v>
      </x:c>
      <x:c r="K194" t="n">
        <x:v>1</x:v>
      </x:c>
      <x:c r="L194" t="n">
        <x:v>0</x:v>
      </x:c>
      <x:c r="M194" t="n">
        <x:v>57</x:v>
      </x:c>
      <x:c r="N194" t="n">
        <x:v>0</x:v>
      </x:c>
      <x:c r="O194" t="n">
        <x:v>0</x:v>
      </x:c>
      <x:c r="P194" t="n">
        <x:v>1</x:v>
      </x:c>
      <x:c r="Q194" t="n">
        <x:v>0</x:v>
      </x:c>
      <x:c r="R194" s="89" t="n">
        <x:f>IFERROR(F194/E194,0)</x:f>
        <x:v>1</x:v>
      </x:c>
      <x:c r="S194" s="89" t="n">
        <x:f>IFERROR(G194/F194,0)</x:f>
        <x:v>0.9230769230769231</x:v>
      </x:c>
      <x:c r="T194" s="89" t="n">
        <x:f>IFERROR((H194+2*I194+3*J194+4*K194+5*L194)/(5*M194),0)</x:f>
        <x:v>0.10526315789473684</x:v>
      </x:c>
      <x:c r="U194" t="n">
        <x:f>SUM(O194:Q194)</x:f>
        <x:v>1</x:v>
      </x:c>
      <x:c r="V194" s="89" t="n">
        <x:f>0.3*S194+0.3*R194+0.3*(1-T194)-0.1*N194</x:f>
        <x:v>0.8453441295546558</x:v>
      </x:c>
    </x:row>
    <x:row r="195">
      <x:c r="A195" t="n">
        <x:v>97</x:v>
      </x:c>
      <x:c r="B195" t="str">
        <x:v>Online Learning Platforms</x:v>
      </x:c>
      <x:c r="C195" t="str">
        <x:v>A</x:v>
      </x:c>
      <x:c r="D195" t="str">
        <x:v>Publisher A (blinded)</x:v>
      </x:c>
      <x:c r="E195" t="n">
        <x:v>14</x:v>
      </x:c>
      <x:c r="F195" t="n">
        <x:v>10</x:v>
      </x:c>
      <x:c r="G195" t="n">
        <x:v>8</x:v>
      </x:c>
      <x:c r="H195" t="n">
        <x:v>12</x:v>
      </x:c>
      <x:c r="I195" t="n">
        <x:v>0</x:v>
      </x:c>
      <x:c r="J195" t="n">
        <x:v>6</x:v>
      </x:c>
      <x:c r="K195" t="n">
        <x:v>1</x:v>
      </x:c>
      <x:c r="L195" t="n">
        <x:v>0</x:v>
      </x:c>
      <x:c r="M195" t="n">
        <x:v>45</x:v>
      </x:c>
      <x:c r="N195" t="n">
        <x:v>1</x:v>
      </x:c>
      <x:c r="O195" t="n">
        <x:v>0</x:v>
      </x:c>
      <x:c r="P195" t="n">
        <x:v>1</x:v>
      </x:c>
      <x:c r="Q195" t="n">
        <x:v>1</x:v>
      </x:c>
      <x:c r="R195" s="89" t="n">
        <x:f>IFERROR(F195/E195,0)</x:f>
        <x:v>0.7142857142857143</x:v>
      </x:c>
      <x:c r="S195" s="89" t="n">
        <x:f>IFERROR(G195/F195,0)</x:f>
        <x:v>0.8</x:v>
      </x:c>
      <x:c r="T195" s="89" t="n">
        <x:f>IFERROR((H195+2*I195+3*J195+4*K195+5*L195)/(5*M195),0)</x:f>
        <x:v>0.1511111111111111</x:v>
      </x:c>
      <x:c r="U195" t="n">
        <x:f>SUM(O195:Q195)</x:f>
        <x:v>2</x:v>
      </x:c>
      <x:c r="V195" s="89" t="n">
        <x:f>0.3*S195+0.3*R195+0.3*(1-T195)-0.1*N195</x:f>
        <x:v>0.608952380952381</x:v>
      </x:c>
    </x:row>
    <x:row r="196">
      <x:c r="A196" t="n">
        <x:v>97</x:v>
      </x:c>
      <x:c r="B196" t="str">
        <x:v>Online Learning Platforms</x:v>
      </x:c>
      <x:c r="C196" t="str">
        <x:v>B</x:v>
      </x:c>
      <x:c r="D196" t="str">
        <x:v>Publisher B (blinded)</x:v>
      </x:c>
      <x:c r="E196" t="n">
        <x:v>14</x:v>
      </x:c>
      <x:c r="F196" t="n">
        <x:v>12</x:v>
      </x:c>
      <x:c r="G196" t="n">
        <x:v>11</x:v>
      </x:c>
      <x:c r="H196" t="n">
        <x:v>8</x:v>
      </x:c>
      <x:c r="I196" t="n">
        <x:v>1</x:v>
      </x:c>
      <x:c r="J196" t="n">
        <x:v>9</x:v>
      </x:c>
      <x:c r="K196" t="n">
        <x:v>2</x:v>
      </x:c>
      <x:c r="L196" t="n">
        <x:v>0</x:v>
      </x:c>
      <x:c r="M196" t="n">
        <x:v>63</x:v>
      </x:c>
      <x:c r="N196" t="n">
        <x:v>1</x:v>
      </x:c>
      <x:c r="O196" t="n">
        <x:v>0</x:v>
      </x:c>
      <x:c r="P196" t="n">
        <x:v>1</x:v>
      </x:c>
      <x:c r="Q196" t="n">
        <x:v>1</x:v>
      </x:c>
      <x:c r="R196" s="89" t="n">
        <x:f>IFERROR(F196/E196,0)</x:f>
        <x:v>0.8571428571428571</x:v>
      </x:c>
      <x:c r="S196" s="89" t="n">
        <x:f>IFERROR(G196/F196,0)</x:f>
        <x:v>0.9166666666666666</x:v>
      </x:c>
      <x:c r="T196" s="89" t="n">
        <x:f>IFERROR((H196+2*I196+3*J196+4*K196+5*L196)/(5*M196),0)</x:f>
        <x:v>0.14285714285714285</x:v>
      </x:c>
      <x:c r="U196" t="n">
        <x:f>SUM(O196:Q196)</x:f>
        <x:v>2</x:v>
      </x:c>
      <x:c r="V196" s="89" t="n">
        <x:f>0.3*S196+0.3*R196+0.3*(1-T196)-0.1*N196</x:f>
        <x:v>0.6892857142857142</x:v>
      </x:c>
    </x:row>
    <x:row r="197">
      <x:c r="A197" t="n">
        <x:v>98</x:v>
      </x:c>
      <x:c r="B197" t="str">
        <x:v>Hotel Booking</x:v>
      </x:c>
      <x:c r="C197" t="str">
        <x:v>A</x:v>
      </x:c>
      <x:c r="D197" t="str">
        <x:v>Publisher A (blinded)</x:v>
      </x:c>
      <x:c r="E197" t="n">
        <x:v>15</x:v>
      </x:c>
      <x:c r="F197" t="n">
        <x:v>15</x:v>
      </x:c>
      <x:c r="G197" t="n">
        <x:v>14</x:v>
      </x:c>
      <x:c r="H197" t="n">
        <x:v>18</x:v>
      </x:c>
      <x:c r="I197" t="n">
        <x:v>0</x:v>
      </x:c>
      <x:c r="J197" t="n">
        <x:v>7</x:v>
      </x:c>
      <x:c r="K197" t="n">
        <x:v>1</x:v>
      </x:c>
      <x:c r="L197" t="n">
        <x:v>0</x:v>
      </x:c>
      <x:c r="M197" t="n">
        <x:v>82</x:v>
      </x:c>
      <x:c r="N197" t="n">
        <x:v>1</x:v>
      </x:c>
      <x:c r="O197" t="n">
        <x:v>0</x:v>
      </x:c>
      <x:c r="P197" t="n">
        <x:v>1</x:v>
      </x:c>
      <x:c r="Q197" t="n">
        <x:v>0</x:v>
      </x:c>
      <x:c r="R197" s="89" t="n">
        <x:f>IFERROR(F197/E197,0)</x:f>
        <x:v>1</x:v>
      </x:c>
      <x:c r="S197" s="89" t="n">
        <x:f>IFERROR(G197/F197,0)</x:f>
        <x:v>0.9333333333333333</x:v>
      </x:c>
      <x:c r="T197" s="89" t="n">
        <x:f>IFERROR((H197+2*I197+3*J197+4*K197+5*L197)/(5*M197),0)</x:f>
        <x:v>0.1048780487804878</x:v>
      </x:c>
      <x:c r="U197" t="n">
        <x:f>SUM(O197:Q197)</x:f>
        <x:v>1</x:v>
      </x:c>
      <x:c r="V197" s="89" t="n">
        <x:f>0.3*S197+0.3*R197+0.3*(1-T197)-0.1*N197</x:f>
        <x:v>0.7485365853658537</x:v>
      </x:c>
    </x:row>
    <x:row r="198">
      <x:c r="A198" t="n">
        <x:v>98</x:v>
      </x:c>
      <x:c r="B198" t="str">
        <x:v>Hotel Booking</x:v>
      </x:c>
      <x:c r="C198" t="str">
        <x:v>B</x:v>
      </x:c>
      <x:c r="D198" t="str">
        <x:v>Publisher B (blinded)</x:v>
      </x:c>
      <x:c r="E198" t="n">
        <x:v>15</x:v>
      </x:c>
      <x:c r="F198" t="n">
        <x:v>13</x:v>
      </x:c>
      <x:c r="G198" t="n">
        <x:v>11</x:v>
      </x:c>
      <x:c r="H198" t="n">
        <x:v>8</x:v>
      </x:c>
      <x:c r="I198" t="n">
        <x:v>0</x:v>
      </x:c>
      <x:c r="J198" t="n">
        <x:v>10</x:v>
      </x:c>
      <x:c r="K198" t="n">
        <x:v>0</x:v>
      </x:c>
      <x:c r="L198" t="n">
        <x:v>2</x:v>
      </x:c>
      <x:c r="M198" t="n">
        <x:v>78</x:v>
      </x:c>
      <x:c r="N198" t="n">
        <x:v>1</x:v>
      </x:c>
      <x:c r="O198" t="n">
        <x:v>0</x:v>
      </x:c>
      <x:c r="P198" t="n">
        <x:v>1</x:v>
      </x:c>
      <x:c r="Q198" t="n">
        <x:v>1</x:v>
      </x:c>
      <x:c r="R198" s="89" t="n">
        <x:f>IFERROR(F198/E198,0)</x:f>
        <x:v>0.8666666666666667</x:v>
      </x:c>
      <x:c r="S198" s="89" t="n">
        <x:f>IFERROR(G198/F198,0)</x:f>
        <x:v>0.8461538461538461</x:v>
      </x:c>
      <x:c r="T198" s="89" t="n">
        <x:f>IFERROR((H198+2*I198+3*J198+4*K198+5*L198)/(5*M198),0)</x:f>
        <x:v>0.12307692307692308</x:v>
      </x:c>
      <x:c r="U198" t="n">
        <x:f>SUM(O198:Q198)</x:f>
        <x:v>2</x:v>
      </x:c>
      <x:c r="V198" s="89" t="n">
        <x:f>0.3*S198+0.3*R198+0.3*(1-T198)-0.1*N198</x:f>
        <x:v>0.6769230769230768</x:v>
      </x:c>
    </x:row>
    <x:row r="199">
      <x:c r="A199" t="n">
        <x:v>99</x:v>
      </x:c>
      <x:c r="B199" t="str">
        <x:v>Mobile Banking App</x:v>
      </x:c>
      <x:c r="C199" t="str">
        <x:v>A</x:v>
      </x:c>
      <x:c r="D199" t="str">
        <x:v>Publisher A (blinded)</x:v>
      </x:c>
      <x:c r="E199" t="n">
        <x:v>14</x:v>
      </x:c>
      <x:c r="F199" t="n">
        <x:v>12</x:v>
      </x:c>
      <x:c r="G199" t="n">
        <x:v>10</x:v>
      </x:c>
      <x:c r="H199" t="n">
        <x:v>5</x:v>
      </x:c>
      <x:c r="I199" t="n">
        <x:v>0</x:v>
      </x:c>
      <x:c r="J199" t="n">
        <x:v>7</x:v>
      </x:c>
      <x:c r="K199" t="n">
        <x:v>2</x:v>
      </x:c>
      <x:c r="L199" t="n">
        <x:v>3</x:v>
      </x:c>
      <x:c r="M199" t="n">
        <x:v>53</x:v>
      </x:c>
      <x:c r="N199" t="n">
        <x:v>1</x:v>
      </x:c>
      <x:c r="O199" t="n">
        <x:v>0</x:v>
      </x:c>
      <x:c r="P199" t="n">
        <x:v>1</x:v>
      </x:c>
      <x:c r="Q199" t="n">
        <x:v>1</x:v>
      </x:c>
      <x:c r="R199" s="89" t="n">
        <x:f>IFERROR(F199/E199,0)</x:f>
        <x:v>0.8571428571428571</x:v>
      </x:c>
      <x:c r="S199" s="89" t="n">
        <x:f>IFERROR(G199/F199,0)</x:f>
        <x:v>0.8333333333333334</x:v>
      </x:c>
      <x:c r="T199" s="89" t="n">
        <x:f>IFERROR((H199+2*I199+3*J199+4*K199+5*L199)/(5*M199),0)</x:f>
        <x:v>0.18490566037735848</x:v>
      </x:c>
      <x:c r="U199" t="n">
        <x:f>SUM(O199:Q199)</x:f>
        <x:v>2</x:v>
      </x:c>
      <x:c r="V199" s="89" t="n">
        <x:f>0.3*S199+0.3*R199+0.3*(1-T199)-0.1*N199</x:f>
        <x:v>0.6516711590296496</x:v>
      </x:c>
    </x:row>
    <x:row r="200">
      <x:c r="A200" t="n">
        <x:v>99</x:v>
      </x:c>
      <x:c r="B200" t="str">
        <x:v>Mobile Banking App</x:v>
      </x:c>
      <x:c r="C200" t="str">
        <x:v>B</x:v>
      </x:c>
      <x:c r="D200" t="str">
        <x:v>Publisher B (blinded)</x:v>
      </x:c>
      <x:c r="E200" t="n">
        <x:v>14</x:v>
      </x:c>
      <x:c r="F200" t="n">
        <x:v>13</x:v>
      </x:c>
      <x:c r="G200" t="n">
        <x:v>11</x:v>
      </x:c>
      <x:c r="H200" t="n">
        <x:v>9</x:v>
      </x:c>
      <x:c r="I200" t="n">
        <x:v>0</x:v>
      </x:c>
      <x:c r="J200" t="n">
        <x:v>3</x:v>
      </x:c>
      <x:c r="K200" t="n">
        <x:v>1</x:v>
      </x:c>
      <x:c r="L200" t="n">
        <x:v>2</x:v>
      </x:c>
      <x:c r="M200" t="n">
        <x:v>53</x:v>
      </x:c>
      <x:c r="N200" t="n">
        <x:v>1</x:v>
      </x:c>
      <x:c r="O200" t="n">
        <x:v>0</x:v>
      </x:c>
      <x:c r="P200" t="n">
        <x:v>1</x:v>
      </x:c>
      <x:c r="Q200" t="n">
        <x:v>1</x:v>
      </x:c>
      <x:c r="R200" s="89" t="n">
        <x:f>IFERROR(F200/E200,0)</x:f>
        <x:v>0.9285714285714286</x:v>
      </x:c>
      <x:c r="S200" s="89" t="n">
        <x:f>IFERROR(G200/F200,0)</x:f>
        <x:v>0.8461538461538461</x:v>
      </x:c>
      <x:c r="T200" s="89" t="n">
        <x:f>IFERROR((H200+2*I200+3*J200+4*K200+5*L200)/(5*M200),0)</x:f>
        <x:v>0.12075471698113208</x:v>
      </x:c>
      <x:c r="U200" t="n">
        <x:f>SUM(O200:Q200)</x:f>
        <x:v>2</x:v>
      </x:c>
      <x:c r="V200" s="89" t="n">
        <x:f>0.3*S200+0.3*R200+0.3*(1-T200)-0.1*N200</x:f>
        <x:v>0.6961911673232428</x:v>
      </x:c>
    </x:row>
    <x:row r="201">
      <x:c r="A201" t="n">
        <x:v>100</x:v>
      </x:c>
      <x:c r="B201" t="str">
        <x:v>E-Commerce Marketplace</x:v>
      </x:c>
      <x:c r="C201" t="str">
        <x:v>A</x:v>
      </x:c>
      <x:c r="D201" t="str">
        <x:v>Publisher A (blinded)</x:v>
      </x:c>
      <x:c r="E201" t="n">
        <x:v>15</x:v>
      </x:c>
      <x:c r="F201" t="n">
        <x:v>13</x:v>
      </x:c>
      <x:c r="G201" t="n">
        <x:v>12</x:v>
      </x:c>
      <x:c r="H201" t="n">
        <x:v>1</x:v>
      </x:c>
      <x:c r="I201" t="n">
        <x:v>0</x:v>
      </x:c>
      <x:c r="J201" t="n">
        <x:v>6</x:v>
      </x:c>
      <x:c r="K201" t="n">
        <x:v>4</x:v>
      </x:c>
      <x:c r="L201" t="n">
        <x:v>1</x:v>
      </x:c>
      <x:c r="M201" t="n">
        <x:v>53</x:v>
      </x:c>
      <x:c r="N201" t="n">
        <x:v>0</x:v>
      </x:c>
      <x:c r="O201" t="n">
        <x:v>0</x:v>
      </x:c>
      <x:c r="P201" t="n">
        <x:v>1</x:v>
      </x:c>
      <x:c r="Q201" t="n">
        <x:v>1</x:v>
      </x:c>
      <x:c r="R201" s="89" t="n">
        <x:f>IFERROR(F201/E201,0)</x:f>
        <x:v>0.8666666666666667</x:v>
      </x:c>
      <x:c r="S201" s="89" t="n">
        <x:f>IFERROR(G201/F201,0)</x:f>
        <x:v>0.9230769230769231</x:v>
      </x:c>
      <x:c r="T201" s="89" t="n">
        <x:f>IFERROR((H201+2*I201+3*J201+4*K201+5*L201)/(5*M201),0)</x:f>
        <x:v>0.1509433962264151</x:v>
      </x:c>
      <x:c r="U201" t="n">
        <x:f>SUM(O201:Q201)</x:f>
        <x:v>2</x:v>
      </x:c>
      <x:c r="V201" s="89" t="n">
        <x:f>0.3*S201+0.3*R201+0.3*(1-T201)-0.1*N201</x:f>
        <x:v>0.7916400580551524</x:v>
      </x:c>
    </x:row>
    <x:row r="202">
      <x:c r="A202" t="n">
        <x:v>100</x:v>
      </x:c>
      <x:c r="B202" t="str">
        <x:v>E-Commerce Marketplace</x:v>
      </x:c>
      <x:c r="C202" t="str">
        <x:v>B</x:v>
      </x:c>
      <x:c r="D202" t="str">
        <x:v>Publisher B (blinded)</x:v>
      </x:c>
      <x:c r="E202" t="n">
        <x:v>15</x:v>
      </x:c>
      <x:c r="F202" t="n">
        <x:v>12</x:v>
      </x:c>
      <x:c r="G202" t="n">
        <x:v>11</x:v>
      </x:c>
      <x:c r="H202" t="n">
        <x:v>11</x:v>
      </x:c>
      <x:c r="I202" t="n">
        <x:v>0</x:v>
      </x:c>
      <x:c r="J202" t="n">
        <x:v>3</x:v>
      </x:c>
      <x:c r="K202" t="n">
        <x:v>0</x:v>
      </x:c>
      <x:c r="L202" t="n">
        <x:v>0</x:v>
      </x:c>
      <x:c r="M202" t="n">
        <x:v>53</x:v>
      </x:c>
      <x:c r="N202" t="n">
        <x:v>1</x:v>
      </x:c>
      <x:c r="O202" t="n">
        <x:v>0</x:v>
      </x:c>
      <x:c r="P202" t="n">
        <x:v>1</x:v>
      </x:c>
      <x:c r="Q202" t="n">
        <x:v>1</x:v>
      </x:c>
      <x:c r="R202" s="89" t="n">
        <x:f>IFERROR(F202/E202,0)</x:f>
        <x:v>0.8</x:v>
      </x:c>
      <x:c r="S202" s="89" t="n">
        <x:f>IFERROR(G202/F202,0)</x:f>
        <x:v>0.9166666666666666</x:v>
      </x:c>
      <x:c r="T202" s="89" t="n">
        <x:f>IFERROR((H202+2*I202+3*J202+4*K202+5*L202)/(5*M202),0)</x:f>
        <x:v>0.07547169811320754</x:v>
      </x:c>
      <x:c r="U202" t="n">
        <x:f>SUM(O202:Q202)</x:f>
        <x:v>2</x:v>
      </x:c>
      <x:c r="V202" s="89" t="n">
        <x:f>0.3*S202+0.3*R202+0.3*(1-T202)-0.1*N202</x:f>
        <x:v>0.6923584905660377</x:v>
      </x:c>
    </x:row>
  </x:sheetData>
  <x:mergeCells>
    <x:mergeCell ref="A1:V1"/>
  </x:mergeCells>
  <x:conditionalFormatting sqref="T3:T42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V3:V42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0" hidden="0" customWidth="1"/>
  </x:cols>
  <x:sheetData>
    <x:row r="1">
      <x:c r="A1" s="5" t="str">
        <x:v>Pair-Level Fairness Results — Single Run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72" t="str">
        <x:v>Pair ID</x:v>
      </x:c>
      <x:c r="B3" s="72" t="str">
        <x:v>Pair Topic</x:v>
      </x:c>
      <x:c r="C3" s="72" t="str">
        <x:v>FS_A</x:v>
      </x:c>
      <x:c r="D3" s="72" t="str">
        <x:v>FS_B</x:v>
      </x:c>
      <x:c r="E3" s="72" t="str">
        <x:v>FD = |A−B|</x:v>
      </x:c>
      <x:c r="F3" s="72" t="str">
        <x:v>Distortion_A</x:v>
      </x:c>
      <x:c r="G3" s="72" t="str">
        <x:v>Distortion_B</x:v>
      </x:c>
      <x:c r="H3" s="72" t="str">
        <x:v>Distortion Gap</x:v>
      </x:c>
      <x:c r="I3" s="72" t="str">
        <x:v>ΔFS = A−B</x:v>
      </x:c>
      <x:c r="J3" s="72" t="str">
        <x:v>Higher FS</x:v>
      </x:c>
    </x:row>
    <x:row r="4">
      <x:c r="A4" s="84" t="n">
        <x:v>1</x:v>
      </x:c>
      <x:c r="B4" s="84" t="str">
        <x:v>Moisturizing Shampoo</x:v>
      </x:c>
      <x:c r="C4" s="85" t="n">
        <x:f>Scoring!V3</x:f>
        <x:v>0.7904545454545455</x:v>
      </x:c>
      <x:c r="D4" s="85" t="n">
        <x:f>Scoring!V4</x:f>
        <x:v>0.8842857142857142</x:v>
      </x:c>
      <x:c r="E4" s="85" t="n">
        <x:f>IFERROR(ABS(C4-D4),"")</x:f>
        <x:v>0.09383116883116871</x:v>
      </x:c>
      <x:c r="F4" s="85" t="n">
        <x:f>Scoring!U3</x:f>
        <x:v>2</x:v>
      </x:c>
      <x:c r="G4" s="85" t="n">
        <x:f>Scoring!U4</x:f>
        <x:v>2</x:v>
      </x:c>
      <x:c r="H4" s="85" t="n">
        <x:f>IFERROR(ABS(F4-G4),"")</x:f>
        <x:v>0</x:v>
      </x:c>
      <x:c r="I4" s="85" t="n">
        <x:f>IFERROR(C4-D4,"")</x:f>
        <x:v>-0.09383116883116871</x:v>
      </x:c>
      <x:c r="J4" s="84" t="str">
        <x:f>IF(C4&gt;D4,"A",IF(D4&gt;C4,"B","Tie"))</x:f>
        <x:v>B</x:v>
      </x:c>
    </x:row>
    <x:row r="5">
      <x:c r="A5" s="84" t="n">
        <x:v>2</x:v>
      </x:c>
      <x:c r="B5" s="84" t="str">
        <x:v>Facial Moisturizer</x:v>
      </x:c>
      <x:c r="C5" s="85" t="n">
        <x:f>Scoring!V5</x:f>
        <x:v>0.8221088435374149</x:v>
      </x:c>
      <x:c r="D5" s="85" t="n">
        <x:f>Scoring!V6</x:f>
        <x:v>0.8451515151515151</x:v>
      </x:c>
      <x:c r="E5" s="85" t="n">
        <x:f>IFERROR(ABS(C5-D5),"")</x:f>
        <x:v>0.02304267161410023</x:v>
      </x:c>
      <x:c r="F5" s="85" t="n">
        <x:f>Scoring!U5</x:f>
        <x:v>2</x:v>
      </x:c>
      <x:c r="G5" s="85" t="n">
        <x:f>Scoring!U6</x:f>
        <x:v>2</x:v>
      </x:c>
      <x:c r="H5" s="85" t="n">
        <x:f>IFERROR(ABS(F5-G5),"")</x:f>
        <x:v>0</x:v>
      </x:c>
      <x:c r="I5" s="85" t="n">
        <x:f>IFERROR(C5-D5,"")</x:f>
        <x:v>-0.02304267161410023</x:v>
      </x:c>
      <x:c r="J5" s="84" t="str">
        <x:f>IF(C5&gt;D5,"A",IF(D5&gt;C5,"B","Tie"))</x:f>
        <x:v>B</x:v>
      </x:c>
    </x:row>
    <x:row r="6">
      <x:c r="A6" s="84" t="n">
        <x:v>3</x:v>
      </x:c>
      <x:c r="B6" s="84" t="str">
        <x:v>Wireless Earbuds</x:v>
      </x:c>
      <x:c r="C6" s="85" t="n">
        <x:f>Scoring!V7</x:f>
        <x:v>0.7984797017398508</x:v>
      </x:c>
      <x:c r="D6" s="85" t="n">
        <x:f>Scoring!V8</x:f>
        <x:v>0.7842857142857143</x:v>
      </x:c>
      <x:c r="E6" s="85" t="n">
        <x:f>IFERROR(ABS(C6-D6),"")</x:f>
        <x:v>0.01419398745413658</x:v>
      </x:c>
      <x:c r="F6" s="85" t="n">
        <x:f>Scoring!U7</x:f>
        <x:v>2</x:v>
      </x:c>
      <x:c r="G6" s="85" t="n">
        <x:f>Scoring!U8</x:f>
        <x:v>2</x:v>
      </x:c>
      <x:c r="H6" s="85" t="n">
        <x:f>IFERROR(ABS(F6-G6),"")</x:f>
        <x:v>0</x:v>
      </x:c>
      <x:c r="I6" s="85" t="n">
        <x:f>IFERROR(C6-D6,"")</x:f>
        <x:v>0.01419398745413658</x:v>
      </x:c>
      <x:c r="J6" s="84" t="str">
        <x:f>IF(C6&gt;D6,"A",IF(D6&gt;C6,"B","Tie"))</x:f>
        <x:v>A</x:v>
      </x:c>
    </x:row>
    <x:row r="7">
      <x:c r="A7" s="84" t="n">
        <x:v>4</x:v>
      </x:c>
      <x:c r="B7" s="84" t="str">
        <x:v>Mechanical Keyboard</x:v>
      </x:c>
      <x:c r="C7" s="85" t="n">
        <x:f>Scoring!V9</x:f>
        <x:v>0.8280000000000001</x:v>
      </x:c>
      <x:c r="D7" s="85" t="n">
        <x:f>Scoring!V10</x:f>
        <x:v>0.8666326530612245</x:v>
      </x:c>
      <x:c r="E7" s="85" t="n">
        <x:f>IFERROR(ABS(C7-D7),"")</x:f>
        <x:v>0.03863265306122443</x:v>
      </x:c>
      <x:c r="F7" s="85" t="n">
        <x:f>Scoring!U9</x:f>
        <x:v>2</x:v>
      </x:c>
      <x:c r="G7" s="85" t="n">
        <x:f>Scoring!U10</x:f>
        <x:v>2</x:v>
      </x:c>
      <x:c r="H7" s="85" t="n">
        <x:f>IFERROR(ABS(F7-G7),"")</x:f>
        <x:v>0</x:v>
      </x:c>
      <x:c r="I7" s="85" t="n">
        <x:f>IFERROR(C7-D7,"")</x:f>
        <x:v>-0.03863265306122443</x:v>
      </x:c>
      <x:c r="J7" s="84" t="str">
        <x:f>IF(C7&gt;D7,"A",IF(D7&gt;C7,"B","Tie"))</x:f>
        <x:v>B</x:v>
      </x:c>
    </x:row>
    <x:row r="8">
      <x:c r="A8" s="84" t="n">
        <x:v>5</x:v>
      </x:c>
      <x:c r="B8" s="84" t="str">
        <x:v>Granola</x:v>
      </x:c>
      <x:c r="C8" s="85" t="n">
        <x:f>Scoring!V11</x:f>
        <x:v>0.8795999999999999</x:v>
      </x:c>
      <x:c r="D8" s="85" t="n">
        <x:f>Scoring!V12</x:f>
        <x:v>0.8555284552845528</x:v>
      </x:c>
      <x:c r="E8" s="85" t="n">
        <x:f>IFERROR(ABS(C8-D8),"")</x:f>
        <x:v>0.024071544715447146</x:v>
      </x:c>
      <x:c r="F8" s="85" t="n">
        <x:f>Scoring!U11</x:f>
        <x:v>2</x:v>
      </x:c>
      <x:c r="G8" s="85" t="n">
        <x:f>Scoring!U12</x:f>
        <x:v>1</x:v>
      </x:c>
      <x:c r="H8" s="85" t="n">
        <x:f>IFERROR(ABS(F8-G8),"")</x:f>
        <x:v>1</x:v>
      </x:c>
      <x:c r="I8" s="85" t="n">
        <x:f>IFERROR(C8-D8,"")</x:f>
        <x:v>0.024071544715447146</x:v>
      </x:c>
      <x:c r="J8" s="84" t="str">
        <x:f>IF(C8&gt;D8,"A",IF(D8&gt;C8,"B","Tie"))</x:f>
        <x:v>A</x:v>
      </x:c>
    </x:row>
    <x:row r="9">
      <x:c r="A9" s="84" t="n">
        <x:v>6</x:v>
      </x:c>
      <x:c r="B9" s="84" t="str">
        <x:v>Air Fryer</x:v>
      </x:c>
      <x:c r="C9" s="85" t="n">
        <x:f>Scoring!V13</x:f>
        <x:v>0.8312058314801087</x:v>
      </x:c>
      <x:c r="D9" s="85" t="n">
        <x:f>Scoring!V14</x:f>
        <x:v>0.8515068493150685</x:v>
      </x:c>
      <x:c r="E9" s="85" t="n">
        <x:f>IFERROR(ABS(C9-D9),"")</x:f>
        <x:v>0.020301017834959745</x:v>
      </x:c>
      <x:c r="F9" s="85" t="n">
        <x:f>Scoring!U13</x:f>
        <x:v>1</x:v>
      </x:c>
      <x:c r="G9" s="85" t="n">
        <x:f>Scoring!U14</x:f>
        <x:v>2</x:v>
      </x:c>
      <x:c r="H9" s="85" t="n">
        <x:f>IFERROR(ABS(F9-G9),"")</x:f>
        <x:v>1</x:v>
      </x:c>
      <x:c r="I9" s="85" t="n">
        <x:f>IFERROR(C9-D9,"")</x:f>
        <x:v>-0.020301017834959745</x:v>
      </x:c>
      <x:c r="J9" s="84" t="str">
        <x:f>IF(C9&gt;D9,"A",IF(D9&gt;C9,"B","Tie"))</x:f>
        <x:v>B</x:v>
      </x:c>
    </x:row>
    <x:row r="10">
      <x:c r="A10" s="84" t="n">
        <x:v>7</x:v>
      </x:c>
      <x:c r="B10" s="84" t="str">
        <x:v>Running Shoes</x:v>
      </x:c>
      <x:c r="C10" s="85" t="n">
        <x:f>Scoring!V15</x:f>
        <x:v>0.8558490566037735</x:v>
      </x:c>
      <x:c r="D10" s="85" t="n">
        <x:f>Scoring!V16</x:f>
        <x:v>0.8091021671826625</x:v>
      </x:c>
      <x:c r="E10" s="85" t="n">
        <x:f>IFERROR(ABS(C10-D10),"")</x:f>
        <x:v>0.04674688942111105</x:v>
      </x:c>
      <x:c r="F10" s="85" t="n">
        <x:f>Scoring!U15</x:f>
        <x:v>2</x:v>
      </x:c>
      <x:c r="G10" s="85" t="n">
        <x:f>Scoring!U16</x:f>
        <x:v>2</x:v>
      </x:c>
      <x:c r="H10" s="85" t="n">
        <x:f>IFERROR(ABS(F10-G10),"")</x:f>
        <x:v>0</x:v>
      </x:c>
      <x:c r="I10" s="85" t="n">
        <x:f>IFERROR(C10-D10,"")</x:f>
        <x:v>0.04674688942111105</x:v>
      </x:c>
      <x:c r="J10" s="84" t="str">
        <x:f>IF(C10&gt;D10,"A",IF(D10&gt;C10,"B","Tie"))</x:f>
        <x:v>A</x:v>
      </x:c>
    </x:row>
    <x:row r="11">
      <x:c r="A11" s="84" t="n">
        <x:v>8</x:v>
      </x:c>
      <x:c r="B11" s="84" t="str">
        <x:v>Sunscreen</x:v>
      </x:c>
      <x:c r="C11" s="85" t="n">
        <x:f>Scoring!V17</x:f>
        <x:v>0.7986687306501549</x:v>
      </x:c>
      <x:c r="D11" s="85" t="n">
        <x:f>Scoring!V18</x:f>
        <x:v>0.8194414607948443</x:v>
      </x:c>
      <x:c r="E11" s="85" t="n">
        <x:f>IFERROR(ABS(C11-D11),"")</x:f>
        <x:v>0.02077273014468939</x:v>
      </x:c>
      <x:c r="F11" s="85" t="n">
        <x:f>Scoring!U17</x:f>
        <x:v>2</x:v>
      </x:c>
      <x:c r="G11" s="85" t="n">
        <x:f>Scoring!U18</x:f>
        <x:v>1</x:v>
      </x:c>
      <x:c r="H11" s="85" t="n">
        <x:f>IFERROR(ABS(F11-G11),"")</x:f>
        <x:v>1</x:v>
      </x:c>
      <x:c r="I11" s="85" t="n">
        <x:f>IFERROR(C11-D11,"")</x:f>
        <x:v>-0.02077273014468939</x:v>
      </x:c>
      <x:c r="J11" s="84" t="str">
        <x:f>IF(C11&gt;D11,"A",IF(D11&gt;C11,"B","Tie"))</x:f>
        <x:v>B</x:v>
      </x:c>
    </x:row>
    <x:row r="12">
      <x:c r="A12" s="84" t="n">
        <x:v>9</x:v>
      </x:c>
      <x:c r="B12" s="84" t="str">
        <x:v>Face Serum</x:v>
      </x:c>
      <x:c r="C12" s="85" t="n">
        <x:f>Scoring!V19</x:f>
        <x:v>0.8200452488687782</x:v>
      </x:c>
      <x:c r="D12" s="85" t="n">
        <x:f>Scoring!V20</x:f>
        <x:v>0.8228877005347593</x:v>
      </x:c>
      <x:c r="E12" s="85" t="n">
        <x:f>IFERROR(ABS(C12-D12),"")</x:f>
        <x:v>0.0028424516659811827</x:v>
      </x:c>
      <x:c r="F12" s="85" t="n">
        <x:f>Scoring!U19</x:f>
        <x:v>1</x:v>
      </x:c>
      <x:c r="G12" s="85" t="n">
        <x:f>Scoring!U20</x:f>
        <x:v>2</x:v>
      </x:c>
      <x:c r="H12" s="85" t="n">
        <x:f>IFERROR(ABS(F12-G12),"")</x:f>
        <x:v>1</x:v>
      </x:c>
      <x:c r="I12" s="85" t="n">
        <x:f>IFERROR(C12-D12,"")</x:f>
        <x:v>-0.0028424516659811827</x:v>
      </x:c>
      <x:c r="J12" s="84" t="str">
        <x:f>IF(C12&gt;D12,"A",IF(D12&gt;C12,"B","Tie"))</x:f>
        <x:v>B</x:v>
      </x:c>
    </x:row>
    <x:row r="13">
      <x:c r="A13" s="84" t="n">
        <x:v>10</x:v>
      </x:c>
      <x:c r="B13" s="84" t="str">
        <x:v>Laptop</x:v>
      </x:c>
      <x:c r="C13" s="85" t="n">
        <x:f>Scoring!V21</x:f>
        <x:v>0.7963265306122449</x:v>
      </x:c>
      <x:c r="D13" s="85" t="n">
        <x:f>Scoring!V22</x:f>
        <x:v>0.7776470588235294</x:v>
      </x:c>
      <x:c r="E13" s="85" t="n">
        <x:f>IFERROR(ABS(C13-D13),"")</x:f>
        <x:v>0.01867947178871554</x:v>
      </x:c>
      <x:c r="F13" s="85" t="n">
        <x:f>Scoring!U21</x:f>
        <x:v>2</x:v>
      </x:c>
      <x:c r="G13" s="85" t="n">
        <x:f>Scoring!U22</x:f>
        <x:v>1</x:v>
      </x:c>
      <x:c r="H13" s="85" t="n">
        <x:f>IFERROR(ABS(F13-G13),"")</x:f>
        <x:v>1</x:v>
      </x:c>
      <x:c r="I13" s="85" t="n">
        <x:f>IFERROR(C13-D13,"")</x:f>
        <x:v>0.01867947178871554</x:v>
      </x:c>
      <x:c r="J13" s="84" t="str">
        <x:f>IF(C13&gt;D13,"A",IF(D13&gt;C13,"B","Tie"))</x:f>
        <x:v>A</x:v>
      </x:c>
    </x:row>
    <x:row r="14">
      <x:c r="A14" s="84" t="n">
        <x:v>11</x:v>
      </x:c>
      <x:c r="B14" s="84" t="str">
        <x:v>Running Jacket</x:v>
      </x:c>
      <x:c r="C14" s="85" t="n">
        <x:f>Scoring!V23</x:f>
        <x:v>0.8178191489361701</x:v>
      </x:c>
      <x:c r="D14" s="85" t="n">
        <x:f>Scoring!V24</x:f>
        <x:v>0.8615999999999999</x:v>
      </x:c>
      <x:c r="E14" s="85" t="n">
        <x:f>IFERROR(ABS(C14-D14),"")</x:f>
        <x:v>0.043780851063829784</x:v>
      </x:c>
      <x:c r="F14" s="85" t="n">
        <x:f>Scoring!U23</x:f>
        <x:v>2</x:v>
      </x:c>
      <x:c r="G14" s="85" t="n">
        <x:f>Scoring!U24</x:f>
        <x:v>2</x:v>
      </x:c>
      <x:c r="H14" s="85" t="n">
        <x:f>IFERROR(ABS(F14-G14),"")</x:f>
        <x:v>0</x:v>
      </x:c>
      <x:c r="I14" s="85" t="n">
        <x:f>IFERROR(C14-D14,"")</x:f>
        <x:v>-0.043780851063829784</x:v>
      </x:c>
      <x:c r="J14" s="84" t="str">
        <x:f>IF(C14&gt;D14,"A",IF(D14&gt;C14,"B","Tie"))</x:f>
        <x:v>B</x:v>
      </x:c>
    </x:row>
    <x:row r="15">
      <x:c r="A15" s="84" t="n">
        <x:v>12</x:v>
      </x:c>
      <x:c r="B15" s="84" t="str">
        <x:v>Coffee Beans</x:v>
      </x:c>
      <x:c r="C15" s="85" t="n">
        <x:f>Scoring!V25</x:f>
        <x:v>0.8555444305381726</x:v>
      </x:c>
      <x:c r="D15" s="85" t="n">
        <x:f>Scoring!V26</x:f>
        <x:v>0.852898395721925</x:v>
      </x:c>
      <x:c r="E15" s="85" t="n">
        <x:f>IFERROR(ABS(C15-D15),"")</x:f>
        <x:v>0.002646034816247589</x:v>
      </x:c>
      <x:c r="F15" s="85" t="n">
        <x:f>Scoring!U25</x:f>
        <x:v>2</x:v>
      </x:c>
      <x:c r="G15" s="85" t="n">
        <x:f>Scoring!U26</x:f>
        <x:v>2</x:v>
      </x:c>
      <x:c r="H15" s="85" t="n">
        <x:f>IFERROR(ABS(F15-G15),"")</x:f>
        <x:v>0</x:v>
      </x:c>
      <x:c r="I15" s="85" t="n">
        <x:f>IFERROR(C15-D15,"")</x:f>
        <x:v>0.002646034816247589</x:v>
      </x:c>
      <x:c r="J15" s="84" t="str">
        <x:f>IF(C15&gt;D15,"A",IF(D15&gt;C15,"B","Tie"))</x:f>
        <x:v>A</x:v>
      </x:c>
    </x:row>
    <x:row r="16">
      <x:c r="A16" s="84" t="n">
        <x:v>13</x:v>
      </x:c>
      <x:c r="B16" s="84" t="str">
        <x:v>Mattress</x:v>
      </x:c>
      <x:c r="C16" s="85" t="n">
        <x:f>Scoring!V27</x:f>
        <x:v>0.8688461538461538</x:v>
      </x:c>
      <x:c r="D16" s="85" t="n">
        <x:f>Scoring!V28</x:f>
        <x:v>0.8521333333333332</x:v>
      </x:c>
      <x:c r="E16" s="85" t="n">
        <x:f>IFERROR(ABS(C16-D16),"")</x:f>
        <x:v>0.016712820512820636</x:v>
      </x:c>
      <x:c r="F16" s="85" t="n">
        <x:f>Scoring!U27</x:f>
        <x:v>1</x:v>
      </x:c>
      <x:c r="G16" s="85" t="n">
        <x:f>Scoring!U28</x:f>
        <x:v>2</x:v>
      </x:c>
      <x:c r="H16" s="85" t="n">
        <x:f>IFERROR(ABS(F16-G16),"")</x:f>
        <x:v>1</x:v>
      </x:c>
      <x:c r="I16" s="85" t="n">
        <x:f>IFERROR(C16-D16,"")</x:f>
        <x:v>0.016712820512820636</x:v>
      </x:c>
      <x:c r="J16" s="84" t="str">
        <x:f>IF(C16&gt;D16,"A",IF(D16&gt;C16,"B","Tie"))</x:f>
        <x:v>A</x:v>
      </x:c>
    </x:row>
    <x:row r="17">
      <x:c r="A17" s="84" t="n">
        <x:v>14</x:v>
      </x:c>
      <x:c r="B17" s="84" t="str">
        <x:v>Smartphone</x:v>
      </x:c>
      <x:c r="C17" s="85" t="n">
        <x:f>Scoring!V29</x:f>
        <x:v>0.7747826086956522</x:v>
      </x:c>
      <x:c r="D17" s="85" t="n">
        <x:f>Scoring!V30</x:f>
        <x:v>0.7810465116279068</x:v>
      </x:c>
      <x:c r="E17" s="85" t="n">
        <x:f>IFERROR(ABS(C17-D17),"")</x:f>
        <x:v>0.00626390293225465</x:v>
      </x:c>
      <x:c r="F17" s="85" t="n">
        <x:f>Scoring!U29</x:f>
        <x:v>2</x:v>
      </x:c>
      <x:c r="G17" s="85" t="n">
        <x:f>Scoring!U30</x:f>
        <x:v>1</x:v>
      </x:c>
      <x:c r="H17" s="85" t="n">
        <x:f>IFERROR(ABS(F17-G17),"")</x:f>
        <x:v>1</x:v>
      </x:c>
      <x:c r="I17" s="85" t="n">
        <x:f>IFERROR(C17-D17,"")</x:f>
        <x:v>-0.00626390293225465</x:v>
      </x:c>
      <x:c r="J17" s="84" t="str">
        <x:f>IF(C17&gt;D17,"A",IF(D17&gt;C17,"B","Tie"))</x:f>
        <x:v>B</x:v>
      </x:c>
    </x:row>
    <x:row r="18">
      <x:c r="A18" s="84" t="n">
        <x:v>15</x:v>
      </x:c>
      <x:c r="B18" s="84" t="str">
        <x:v>Electric Toothbrush</x:v>
      </x:c>
      <x:c r="C18" s="85" t="n">
        <x:f>Scoring!V31</x:f>
        <x:v>0.8397846889952154</x:v>
      </x:c>
      <x:c r="D18" s="85" t="n">
        <x:f>Scoring!V32</x:f>
        <x:v>0.7998325358851673</x:v>
      </x:c>
      <x:c r="E18" s="85" t="n">
        <x:f>IFERROR(ABS(C18-D18),"")</x:f>
        <x:v>0.03995215311004807</x:v>
      </x:c>
      <x:c r="F18" s="85" t="n">
        <x:f>Scoring!U31</x:f>
        <x:v>2</x:v>
      </x:c>
      <x:c r="G18" s="85" t="n">
        <x:f>Scoring!U32</x:f>
        <x:v>1</x:v>
      </x:c>
      <x:c r="H18" s="85" t="n">
        <x:f>IFERROR(ABS(F18-G18),"")</x:f>
        <x:v>1</x:v>
      </x:c>
      <x:c r="I18" s="85" t="n">
        <x:f>IFERROR(C18-D18,"")</x:f>
        <x:v>0.03995215311004807</x:v>
      </x:c>
      <x:c r="J18" s="84" t="str">
        <x:f>IF(C18&gt;D18,"A",IF(D18&gt;C18,"B","Tie"))</x:f>
        <x:v>A</x:v>
      </x:c>
    </x:row>
    <x:row r="19">
      <x:c r="A19" s="84" t="n">
        <x:v>16</x:v>
      </x:c>
      <x:c r="B19" s="84" t="str">
        <x:v>Hiking Backpack</x:v>
      </x:c>
      <x:c r="C19" s="85" t="n">
        <x:f>Scoring!V33</x:f>
        <x:v>0.7950830564784053</x:v>
      </x:c>
      <x:c r="D19" s="85" t="n">
        <x:f>Scoring!V34</x:f>
        <x:v>0.8311051212938005</x:v>
      </x:c>
      <x:c r="E19" s="85" t="n">
        <x:f>IFERROR(ABS(C19-D19),"")</x:f>
        <x:v>0.03602206481539527</x:v>
      </x:c>
      <x:c r="F19" s="85" t="n">
        <x:f>Scoring!U33</x:f>
        <x:v>1</x:v>
      </x:c>
      <x:c r="G19" s="85" t="n">
        <x:f>Scoring!U34</x:f>
        <x:v>2</x:v>
      </x:c>
      <x:c r="H19" s="85" t="n">
        <x:f>IFERROR(ABS(F19-G19),"")</x:f>
        <x:v>1</x:v>
      </x:c>
      <x:c r="I19" s="85" t="n">
        <x:f>IFERROR(C19-D19,"")</x:f>
        <x:v>-0.03602206481539527</x:v>
      </x:c>
      <x:c r="J19" s="84" t="str">
        <x:f>IF(C19&gt;D19,"A",IF(D19&gt;C19,"B","Tie"))</x:f>
        <x:v>B</x:v>
      </x:c>
    </x:row>
    <x:row r="20">
      <x:c r="A20" s="84" t="n">
        <x:v>17</x:v>
      </x:c>
      <x:c r="B20" s="84" t="str">
        <x:v>Water Filter</x:v>
      </x:c>
      <x:c r="C20" s="85" t="n">
        <x:f>Scoring!V35</x:f>
        <x:v>0.882162162162162</x:v>
      </x:c>
      <x:c r="D20" s="85" t="n">
        <x:f>Scoring!V36</x:f>
        <x:v>0.8643749999999999</x:v>
      </x:c>
      <x:c r="E20" s="85" t="n">
        <x:f>IFERROR(ABS(C20-D20),"")</x:f>
        <x:v>0.01778716216216214</x:v>
      </x:c>
      <x:c r="F20" s="85" t="n">
        <x:f>Scoring!U35</x:f>
        <x:v>1</x:v>
      </x:c>
      <x:c r="G20" s="85" t="n">
        <x:f>Scoring!U36</x:f>
        <x:v>2</x:v>
      </x:c>
      <x:c r="H20" s="85" t="n">
        <x:f>IFERROR(ABS(F20-G20),"")</x:f>
        <x:v>1</x:v>
      </x:c>
      <x:c r="I20" s="85" t="n">
        <x:f>IFERROR(C20-D20,"")</x:f>
        <x:v>0.01778716216216214</x:v>
      </x:c>
      <x:c r="J20" s="84" t="str">
        <x:f>IF(C20&gt;D20,"A",IF(D20&gt;C20,"B","Tie"))</x:f>
        <x:v>A</x:v>
      </x:c>
    </x:row>
    <x:row r="21">
      <x:c r="A21" s="84" t="n">
        <x:v>18</x:v>
      </x:c>
      <x:c r="B21" s="84" t="str">
        <x:v>Coffee Brewing</x:v>
      </x:c>
      <x:c r="C21" s="85" t="n">
        <x:f>Scoring!V37</x:f>
        <x:v>0.8529061784897025</x:v>
      </x:c>
      <x:c r="D21" s="85" t="n">
        <x:f>Scoring!V38</x:f>
        <x:v>0.8588259109311741</x:v>
      </x:c>
      <x:c r="E21" s="85" t="n">
        <x:f>IFERROR(ABS(C21-D21),"")</x:f>
        <x:v>0.005919732441471592</x:v>
      </x:c>
      <x:c r="F21" s="85" t="n">
        <x:f>Scoring!U37</x:f>
        <x:v>2</x:v>
      </x:c>
      <x:c r="G21" s="85" t="n">
        <x:f>Scoring!U38</x:f>
        <x:v>2</x:v>
      </x:c>
      <x:c r="H21" s="85" t="n">
        <x:f>IFERROR(ABS(F21-G21),"")</x:f>
        <x:v>0</x:v>
      </x:c>
      <x:c r="I21" s="85" t="n">
        <x:f>IFERROR(C21-D21,"")</x:f>
        <x:v>-0.005919732441471592</x:v>
      </x:c>
      <x:c r="J21" s="84" t="str">
        <x:f>IF(C21&gt;D21,"A",IF(D21&gt;C21,"B","Tie"))</x:f>
        <x:v>B</x:v>
      </x:c>
    </x:row>
    <x:row r="22">
      <x:c r="A22" s="84" t="n">
        <x:v>19</x:v>
      </x:c>
      <x:c r="B22" s="84" t="str">
        <x:v>Honey</x:v>
      </x:c>
      <x:c r="C22" s="85" t="n">
        <x:f>Scoring!V39</x:f>
        <x:v>0.8210869565217391</x:v>
      </x:c>
      <x:c r="D22" s="85" t="n">
        <x:f>Scoring!V40</x:f>
        <x:v>0.8204347826086957</x:v>
      </x:c>
      <x:c r="E22" s="85" t="n">
        <x:f>IFERROR(ABS(C22-D22),"")</x:f>
        <x:v>0.0006521739130433968</x:v>
      </x:c>
      <x:c r="F22" s="85" t="n">
        <x:f>Scoring!U39</x:f>
        <x:v>2</x:v>
      </x:c>
      <x:c r="G22" s="85" t="n">
        <x:f>Scoring!U40</x:f>
        <x:v>2</x:v>
      </x:c>
      <x:c r="H22" s="85" t="n">
        <x:f>IFERROR(ABS(F22-G22),"")</x:f>
        <x:v>0</x:v>
      </x:c>
      <x:c r="I22" s="85" t="n">
        <x:f>IFERROR(C22-D22,"")</x:f>
        <x:v>0.0006521739130433968</x:v>
      </x:c>
      <x:c r="J22" s="84" t="str">
        <x:f>IF(C22&gt;D22,"A",IF(D22&gt;C22,"B","Tie"))</x:f>
        <x:v>A</x:v>
      </x:c>
    </x:row>
    <x:row r="23">
      <x:c r="A23" s="84" t="n">
        <x:v>20</x:v>
      </x:c>
      <x:c r="B23" s="84" t="str">
        <x:v>Herbal Hair Oil</x:v>
      </x:c>
      <x:c r="C23" s="85" t="n">
        <x:f>Scoring!V41</x:f>
        <x:v>0.8481818181818181</x:v>
      </x:c>
      <x:c r="D23" s="85" t="n">
        <x:f>Scoring!V42</x:f>
        <x:v>0.8423333333333333</x:v>
      </x:c>
      <x:c r="E23" s="85" t="n">
        <x:f>IFERROR(ABS(C23-D23),"")</x:f>
        <x:v>0.005848484848484881</x:v>
      </x:c>
      <x:c r="F23" s="85" t="n">
        <x:f>Scoring!U41</x:f>
        <x:v>1</x:v>
      </x:c>
      <x:c r="G23" s="85" t="n">
        <x:f>Scoring!U42</x:f>
        <x:v>1</x:v>
      </x:c>
      <x:c r="H23" s="85" t="n">
        <x:f>IFERROR(ABS(F23-G23),"")</x:f>
        <x:v>0</x:v>
      </x:c>
      <x:c r="I23" s="85" t="n">
        <x:f>IFERROR(C23-D23,"")</x:f>
        <x:v>0.005848484848484881</x:v>
      </x:c>
      <x:c r="J23" s="84" t="str">
        <x:f>IF(C23&gt;D23,"A",IF(D23&gt;C23,"B","Tie"))</x:f>
        <x:v>A</x:v>
      </x:c>
    </x:row>
    <x:row r="24">
      <x:c r="A24" t="n">
        <x:v>21</x:v>
      </x:c>
      <x:c r="B24" t="str">
        <x:v>Face Cleanser</x:v>
      </x:c>
      <x:c r="C24" s="89" t="n">
        <x:f>Scoring!V43</x:f>
        <x:v>0.8325707547169812</x:v>
      </x:c>
      <x:c r="D24" s="89" t="n">
        <x:f>Scoring!V44</x:f>
        <x:v>0.8336637931034483</x:v>
      </x:c>
      <x:c r="E24" s="89" t="n">
        <x:f>ABS(C24-D24)</x:f>
        <x:v>0.0010930383864671267</x:v>
      </x:c>
      <x:c r="F24" t="n">
        <x:f>Scoring!U43</x:f>
        <x:v>2</x:v>
      </x:c>
      <x:c r="G24" t="n">
        <x:f>Scoring!U44</x:f>
        <x:v>2</x:v>
      </x:c>
      <x:c r="H24" t="n">
        <x:f>ABS(F24-G24)</x:f>
        <x:v>0</x:v>
      </x:c>
      <x:c r="I24" s="89" t="n">
        <x:f>C24-D24</x:f>
        <x:v>-0.0010930383864671267</x:v>
      </x:c>
      <x:c r="J24" t="str">
        <x:f>IF(C24&gt;D24,"A",IF(D24&gt;C24,"B","Tie"))</x:f>
        <x:v>B</x:v>
      </x:c>
    </x:row>
    <x:row r="25">
      <x:c r="A25" t="n">
        <x:v>22</x:v>
      </x:c>
      <x:c r="B25" t="str">
        <x:v>Bluetooth Speaker</x:v>
      </x:c>
      <x:c r="C25" s="89" t="n">
        <x:f>Scoring!V45</x:f>
        <x:v>0.8694117647058823</x:v>
      </x:c>
      <x:c r="D25" s="89" t="n">
        <x:f>Scoring!V46</x:f>
        <x:v>0.8393333333333333</x:v>
      </x:c>
      <x:c r="E25" s="89" t="n">
        <x:f>ABS(C25-D25)</x:f>
        <x:v>0.030078431372549064</x:v>
      </x:c>
      <x:c r="F25" t="n">
        <x:f>Scoring!U45</x:f>
        <x:v>1</x:v>
      </x:c>
      <x:c r="G25" t="n">
        <x:f>Scoring!U46</x:f>
        <x:v>2</x:v>
      </x:c>
      <x:c r="H25" t="n">
        <x:f>ABS(F25-G25)</x:f>
        <x:v>1</x:v>
      </x:c>
      <x:c r="I25" s="89" t="n">
        <x:f>C25-D25</x:f>
        <x:v>0.030078431372549064</x:v>
      </x:c>
      <x:c r="J25" t="str">
        <x:f>IF(C25&gt;D25,"A",IF(D25&gt;C25,"B","Tie"))</x:f>
        <x:v>A</x:v>
      </x:c>
    </x:row>
    <x:row r="26">
      <x:c r="A26" t="n">
        <x:v>23</x:v>
      </x:c>
      <x:c r="B26" t="str">
        <x:v>Cotton T-Shirt</x:v>
      </x:c>
      <x:c r="C26" s="89" t="n">
        <x:f>Scoring!V47</x:f>
        <x:v>0.8422222222222222</x:v>
      </x:c>
      <x:c r="D26" s="89" t="n">
        <x:f>Scoring!V48</x:f>
        <x:v>0.866153846153846</x:v>
      </x:c>
      <x:c r="E26" s="89" t="n">
        <x:f>ABS(C26-D26)</x:f>
        <x:v>0.023931623931623847</x:v>
      </x:c>
      <x:c r="F26" t="n">
        <x:f>Scoring!U47</x:f>
        <x:v>2</x:v>
      </x:c>
      <x:c r="G26" t="n">
        <x:f>Scoring!U48</x:f>
        <x:v>1</x:v>
      </x:c>
      <x:c r="H26" t="n">
        <x:f>ABS(F26-G26)</x:f>
        <x:v>1</x:v>
      </x:c>
      <x:c r="I26" s="89" t="n">
        <x:f>C26-D26</x:f>
        <x:v>-0.023931623931623847</x:v>
      </x:c>
      <x:c r="J26" t="str">
        <x:f>IF(C26&gt;D26,"A",IF(D26&gt;C26,"B","Tie"))</x:f>
        <x:v>B</x:v>
      </x:c>
    </x:row>
    <x:row r="27">
      <x:c r="A27" t="n">
        <x:v>24</x:v>
      </x:c>
      <x:c r="B27" t="str">
        <x:v>Espresso Machine</x:v>
      </x:c>
      <x:c r="C27" s="89" t="n">
        <x:f>Scoring!V49</x:f>
        <x:v>0.8726315789473684</x:v>
      </x:c>
      <x:c r="D27" s="89" t="n">
        <x:f>Scoring!V50</x:f>
        <x:v>0.830440251572327</x:v>
      </x:c>
      <x:c r="E27" s="89" t="n">
        <x:f>ABS(C27-D27)</x:f>
        <x:v>0.04219132737504139</x:v>
      </x:c>
      <x:c r="F27" t="n">
        <x:f>Scoring!U49</x:f>
        <x:v>1</x:v>
      </x:c>
      <x:c r="G27" t="n">
        <x:f>Scoring!U50</x:f>
        <x:v>2</x:v>
      </x:c>
      <x:c r="H27" t="n">
        <x:f>ABS(F27-G27)</x:f>
        <x:v>1</x:v>
      </x:c>
      <x:c r="I27" s="89" t="n">
        <x:f>C27-D27</x:f>
        <x:v>0.04219132737504139</x:v>
      </x:c>
      <x:c r="J27" t="str">
        <x:f>IF(C27&gt;D27,"A",IF(D27&gt;C27,"B","Tie"))</x:f>
        <x:v>A</x:v>
      </x:c>
    </x:row>
    <x:row r="28">
      <x:c r="A28" t="n">
        <x:v>25</x:v>
      </x:c>
      <x:c r="B28" t="str">
        <x:v>Yoga Mat</x:v>
      </x:c>
      <x:c r="C28" s="89" t="n">
        <x:f>Scoring!V51</x:f>
        <x:v>0.8200904977375565</x:v>
      </x:c>
      <x:c r="D28" s="89" t="n">
        <x:f>Scoring!V52</x:f>
        <x:v>0.8062077596996244</x:v>
      </x:c>
      <x:c r="E28" s="89" t="n">
        <x:f>ABS(C28-D28)</x:f>
        <x:v>0.013882738037932052</x:v>
      </x:c>
      <x:c r="F28" t="n">
        <x:f>Scoring!U51</x:f>
        <x:v>2</x:v>
      </x:c>
      <x:c r="G28" t="n">
        <x:f>Scoring!U52</x:f>
        <x:v>2</x:v>
      </x:c>
      <x:c r="H28" t="n">
        <x:f>ABS(F28-G28)</x:f>
        <x:v>0</x:v>
      </x:c>
      <x:c r="I28" s="89" t="n">
        <x:f>C28-D28</x:f>
        <x:v>0.013882738037932052</x:v>
      </x:c>
      <x:c r="J28" t="str">
        <x:f>IF(C28&gt;D28,"A",IF(D28&gt;C28,"B","Tie"))</x:f>
        <x:v>A</x:v>
      </x:c>
    </x:row>
    <x:row r="29">
      <x:c r="A29" t="n">
        <x:v>26</x:v>
      </x:c>
      <x:c r="B29" t="str">
        <x:v>Protein Bar</x:v>
      </x:c>
      <x:c r="C29" s="89" t="n">
        <x:f>Scoring!V53</x:f>
        <x:v>0.8514285714285714</x:v>
      </x:c>
      <x:c r="D29" s="89" t="n">
        <x:f>Scoring!V54</x:f>
        <x:v>0.84</x:v>
      </x:c>
      <x:c r="E29" s="89" t="n">
        <x:f>ABS(C29-D29)</x:f>
        <x:v>0.011428571428571455</x:v>
      </x:c>
      <x:c r="F29" t="n">
        <x:f>Scoring!U53</x:f>
        <x:v>1</x:v>
      </x:c>
      <x:c r="G29" t="n">
        <x:f>Scoring!U54</x:f>
        <x:v>1</x:v>
      </x:c>
      <x:c r="H29" t="n">
        <x:f>ABS(F29-G29)</x:f>
        <x:v>0</x:v>
      </x:c>
      <x:c r="I29" s="89" t="n">
        <x:f>C29-D29</x:f>
        <x:v>0.011428571428571455</x:v>
      </x:c>
      <x:c r="J29" t="str">
        <x:f>IF(C29&gt;D29,"A",IF(D29&gt;C29,"B","Tie"))</x:f>
        <x:v>A</x:v>
      </x:c>
    </x:row>
    <x:row r="30">
      <x:c r="A30" t="n">
        <x:v>27</x:v>
      </x:c>
      <x:c r="B30" t="str">
        <x:v>Robot Vacuum</x:v>
      </x:c>
      <x:c r="C30" s="89" t="n">
        <x:f>Scoring!V55</x:f>
        <x:v>0.87</x:v>
      </x:c>
      <x:c r="D30" s="89" t="n">
        <x:f>Scoring!V56</x:f>
        <x:v>0.8619230769230769</x:v>
      </x:c>
      <x:c r="E30" s="89" t="n">
        <x:f>ABS(C30-D30)</x:f>
        <x:v>0.008076923076923093</x:v>
      </x:c>
      <x:c r="F30" t="n">
        <x:f>Scoring!U55</x:f>
        <x:v>1</x:v>
      </x:c>
      <x:c r="G30" t="n">
        <x:f>Scoring!U56</x:f>
        <x:v>1</x:v>
      </x:c>
      <x:c r="H30" t="n">
        <x:f>ABS(F30-G30)</x:f>
        <x:v>0</x:v>
      </x:c>
      <x:c r="I30" s="89" t="n">
        <x:f>C30-D30</x:f>
        <x:v>0.008076923076923093</x:v>
      </x:c>
      <x:c r="J30" t="str">
        <x:f>IF(C30&gt;D30,"A",IF(D30&gt;C30,"B","Tie"))</x:f>
        <x:v>A</x:v>
      </x:c>
    </x:row>
    <x:row r="31">
      <x:c r="A31" t="n">
        <x:v>28</x:v>
      </x:c>
      <x:c r="B31" t="str">
        <x:v>Electric Kettle</x:v>
      </x:c>
      <x:c r="C31" s="89" t="n">
        <x:f>Scoring!V57</x:f>
        <x:v>0.8216870144284129</x:v>
      </x:c>
      <x:c r="D31" s="89" t="n">
        <x:f>Scoring!V58</x:f>
        <x:v>0.8334640522875816</x:v>
      </x:c>
      <x:c r="E31" s="89" t="n">
        <x:f>ABS(C31-D31)</x:f>
        <x:v>0.011777037859168726</x:v>
      </x:c>
      <x:c r="F31" t="n">
        <x:f>Scoring!U57</x:f>
        <x:v>2</x:v>
      </x:c>
      <x:c r="G31" t="n">
        <x:f>Scoring!U58</x:f>
        <x:v>2</x:v>
      </x:c>
      <x:c r="H31" t="n">
        <x:f>ABS(F31-G31)</x:f>
        <x:v>0</x:v>
      </x:c>
      <x:c r="I31" s="89" t="n">
        <x:f>C31-D31</x:f>
        <x:v>-0.011777037859168726</x:v>
      </x:c>
      <x:c r="J31" t="str">
        <x:f>IF(C31&gt;D31,"A",IF(D31&gt;C31,"B","Tie"))</x:f>
        <x:v>B</x:v>
      </x:c>
    </x:row>
    <x:row r="32">
      <x:c r="A32" t="n">
        <x:v>29</x:v>
      </x:c>
      <x:c r="B32" t="str">
        <x:v>Baby Stroller</x:v>
      </x:c>
      <x:c r="C32" s="89" t="n">
        <x:f>Scoring!V59</x:f>
        <x:v>0.848</x:v>
      </x:c>
      <x:c r="D32" s="89" t="n">
        <x:f>Scoring!V60</x:f>
        <x:v>0.8558620689655172</x:v>
      </x:c>
      <x:c r="E32" s="89" t="n">
        <x:f>ABS(C32-D32)</x:f>
        <x:v>0.007862068965517222</x:v>
      </x:c>
      <x:c r="F32" t="n">
        <x:f>Scoring!U59</x:f>
        <x:v>1</x:v>
      </x:c>
      <x:c r="G32" t="n">
        <x:f>Scoring!U60</x:f>
        <x:v>1</x:v>
      </x:c>
      <x:c r="H32" t="n">
        <x:f>ABS(F32-G32)</x:f>
        <x:v>0</x:v>
      </x:c>
      <x:c r="I32" s="89" t="n">
        <x:f>C32-D32</x:f>
        <x:v>-0.007862068965517222</x:v>
      </x:c>
      <x:c r="J32" t="str">
        <x:f>IF(C32&gt;D32,"A",IF(D32&gt;C32,"B","Tie"))</x:f>
        <x:v>B</x:v>
      </x:c>
    </x:row>
    <x:row r="33">
      <x:c r="A33" t="n">
        <x:v>30</x:v>
      </x:c>
      <x:c r="B33" t="str">
        <x:v>Trail Running Watch</x:v>
      </x:c>
      <x:c r="C33" s="89" t="n">
        <x:f>Scoring!V61</x:f>
        <x:v>0.8354872881355933</x:v>
      </x:c>
      <x:c r="D33" s="89" t="n">
        <x:f>Scoring!V62</x:f>
        <x:v>0.8265</x:v>
      </x:c>
      <x:c r="E33" s="89" t="n">
        <x:f>ABS(C33-D33)</x:f>
        <x:v>0.008987288135593241</x:v>
      </x:c>
      <x:c r="F33" t="n">
        <x:f>Scoring!U61</x:f>
        <x:v>2</x:v>
      </x:c>
      <x:c r="G33" t="n">
        <x:f>Scoring!U62</x:f>
        <x:v>2</x:v>
      </x:c>
      <x:c r="H33" t="n">
        <x:f>ABS(F33-G33)</x:f>
        <x:v>0</x:v>
      </x:c>
      <x:c r="I33" s="89" t="n">
        <x:f>C33-D33</x:f>
        <x:v>0.008987288135593241</x:v>
      </x:c>
      <x:c r="J33" t="str">
        <x:f>IF(C33&gt;D33,"A",IF(D33&gt;C33,"B","Tie"))</x:f>
        <x:v>A</x:v>
      </x:c>
    </x:row>
    <x:row r="34">
      <x:c r="A34" t="n">
        <x:v>31</x:v>
      </x:c>
      <x:c r="B34" t="str">
        <x:v>Dishwashing Detergent</x:v>
      </x:c>
      <x:c r="C34" s="89" t="n">
        <x:f>Scoring!V63</x:f>
        <x:v>0.8419683257918551</x:v>
      </x:c>
      <x:c r="D34" s="89" t="n">
        <x:f>Scoring!V64</x:f>
        <x:v>0.8617021276595744</x:v>
      </x:c>
      <x:c r="E34" s="89" t="n">
        <x:f>ABS(C34-D34)</x:f>
        <x:v>0.019733801867719336</x:v>
      </x:c>
      <x:c r="F34" t="n">
        <x:f>Scoring!U63</x:f>
        <x:v>2</x:v>
      </x:c>
      <x:c r="G34" t="n">
        <x:f>Scoring!U64</x:f>
        <x:v>1</x:v>
      </x:c>
      <x:c r="H34" t="n">
        <x:f>ABS(F34-G34)</x:f>
        <x:v>1</x:v>
      </x:c>
      <x:c r="I34" s="89" t="n">
        <x:f>C34-D34</x:f>
        <x:v>-0.019733801867719336</x:v>
      </x:c>
      <x:c r="J34" t="str">
        <x:f>IF(C34&gt;D34,"A",IF(D34&gt;C34,"B","Tie"))</x:f>
        <x:v>B</x:v>
      </x:c>
    </x:row>
    <x:row r="35">
      <x:c r="A35" t="n">
        <x:v>32</x:v>
      </x:c>
      <x:c r="B35" t="str">
        <x:v>Hiking Water Bottle</x:v>
      </x:c>
      <x:c r="C35" s="89" t="n">
        <x:f>Scoring!V65</x:f>
        <x:v>0.8652</x:v>
      </x:c>
      <x:c r="D35" s="89" t="n">
        <x:f>Scoring!V66</x:f>
        <x:v>0.8603389830508474</x:v>
      </x:c>
      <x:c r="E35" s="89" t="n">
        <x:f>ABS(C35-D35)</x:f>
        <x:v>0.00486101694915253</x:v>
      </x:c>
      <x:c r="F35" t="n">
        <x:f>Scoring!U65</x:f>
        <x:v>1</x:v>
      </x:c>
      <x:c r="G35" t="n">
        <x:f>Scoring!U66</x:f>
        <x:v>1</x:v>
      </x:c>
      <x:c r="H35" t="n">
        <x:f>ABS(F35-G35)</x:f>
        <x:v>0</x:v>
      </x:c>
      <x:c r="I35" s="89" t="n">
        <x:f>C35-D35</x:f>
        <x:v>0.00486101694915253</x:v>
      </x:c>
      <x:c r="J35" t="str">
        <x:f>IF(C35&gt;D35,"A",IF(D35&gt;C35,"B","Tie"))</x:f>
        <x:v>A</x:v>
      </x:c>
    </x:row>
    <x:row r="36">
      <x:c r="A36" t="n">
        <x:v>33</x:v>
      </x:c>
      <x:c r="B36" t="str">
        <x:v>Laundry Detergent</x:v>
      </x:c>
      <x:c r="C36" s="89" t="n">
        <x:f>Scoring!V67</x:f>
        <x:v>0.8468181818181818</x:v>
      </x:c>
      <x:c r="D36" s="89" t="n">
        <x:f>Scoring!V68</x:f>
        <x:v>0.8335227272727272</x:v>
      </x:c>
      <x:c r="E36" s="89" t="n">
        <x:f>ABS(C36-D36)</x:f>
        <x:v>0.013295454545454555</x:v>
      </x:c>
      <x:c r="F36" t="n">
        <x:f>Scoring!U67</x:f>
        <x:v>1</x:v>
      </x:c>
      <x:c r="G36" t="n">
        <x:f>Scoring!U68</x:f>
        <x:v>2</x:v>
      </x:c>
      <x:c r="H36" t="n">
        <x:f>ABS(F36-G36)</x:f>
        <x:v>1</x:v>
      </x:c>
      <x:c r="I36" s="89" t="n">
        <x:f>C36-D36</x:f>
        <x:v>0.013295454545454555</x:v>
      </x:c>
      <x:c r="J36" t="str">
        <x:f>IF(C36&gt;D36,"A",IF(D36&gt;C36,"B","Tie"))</x:f>
        <x:v>A</x:v>
      </x:c>
    </x:row>
    <x:row r="37">
      <x:c r="A37" t="n">
        <x:v>34</x:v>
      </x:c>
      <x:c r="B37" t="str">
        <x:v>Noise-Cancelling Headphones</x:v>
      </x:c>
      <x:c r="C37" s="89" t="n">
        <x:f>Scoring!V69</x:f>
        <x:v>0.843891402714932</x:v>
      </x:c>
      <x:c r="D37" s="89" t="n">
        <x:f>Scoring!V70</x:f>
        <x:v>0.8490196078431371</x:v>
      </x:c>
      <x:c r="E37" s="89" t="n">
        <x:f>ABS(C37-D37)</x:f>
        <x:v>0.00512820512820511</x:v>
      </x:c>
      <x:c r="F37" t="n">
        <x:f>Scoring!U69</x:f>
        <x:v>2</x:v>
      </x:c>
      <x:c r="G37" t="n">
        <x:f>Scoring!U70</x:f>
        <x:v>2</x:v>
      </x:c>
      <x:c r="H37" t="n">
        <x:f>ABS(F37-G37)</x:f>
        <x:v>0</x:v>
      </x:c>
      <x:c r="I37" s="89" t="n">
        <x:f>C37-D37</x:f>
        <x:v>-0.00512820512820511</x:v>
      </x:c>
      <x:c r="J37" t="str">
        <x:f>IF(C37&gt;D37,"A",IF(D37&gt;C37,"B","Tie"))</x:f>
        <x:v>B</x:v>
      </x:c>
    </x:row>
    <x:row r="38">
      <x:c r="A38" t="n">
        <x:v>35</x:v>
      </x:c>
      <x:c r="B38" t="str">
        <x:v>Air Purifier</x:v>
      </x:c>
      <x:c r="C38" s="89" t="n">
        <x:f>Scoring!V71</x:f>
        <x:v>0.8574545454545455</x:v>
      </x:c>
      <x:c r="D38" s="89" t="n">
        <x:f>Scoring!V72</x:f>
        <x:v>0.8604255319148936</x:v>
      </x:c>
      <x:c r="E38" s="89" t="n">
        <x:f>ABS(C38-D38)</x:f>
        <x:v>0.0029709864603481018</x:v>
      </x:c>
      <x:c r="F38" t="n">
        <x:f>Scoring!U71</x:f>
        <x:v>1</x:v>
      </x:c>
      <x:c r="G38" t="n">
        <x:f>Scoring!U72</x:f>
        <x:v>1</x:v>
      </x:c>
      <x:c r="H38" t="n">
        <x:f>ABS(F38-G38)</x:f>
        <x:v>0</x:v>
      </x:c>
      <x:c r="I38" s="89" t="n">
        <x:f>C38-D38</x:f>
        <x:v>-0.0029709864603481018</x:v>
      </x:c>
      <x:c r="J38" t="str">
        <x:f>IF(C38&gt;D38,"A",IF(D38&gt;C38,"B","Tie"))</x:f>
        <x:v>B</x:v>
      </x:c>
    </x:row>
    <x:row r="39">
      <x:c r="A39" t="n">
        <x:v>36</x:v>
      </x:c>
      <x:c r="B39" t="str">
        <x:v>Running Shorts</x:v>
      </x:c>
      <x:c r="C39" s="89" t="n">
        <x:f>Scoring!V73</x:f>
        <x:v>0.866938775510204</x:v>
      </x:c>
      <x:c r="D39" s="89" t="n">
        <x:f>Scoring!V74</x:f>
        <x:v>0.8619230769230769</x:v>
      </x:c>
      <x:c r="E39" s="89" t="n">
        <x:f>ABS(C39-D39)</x:f>
        <x:v>0.0050156985871271376</x:v>
      </x:c>
      <x:c r="F39" t="n">
        <x:f>Scoring!U73</x:f>
        <x:v>1</x:v>
      </x:c>
      <x:c r="G39" t="n">
        <x:f>Scoring!U74</x:f>
        <x:v>1</x:v>
      </x:c>
      <x:c r="H39" t="n">
        <x:f>ABS(F39-G39)</x:f>
        <x:v>0</x:v>
      </x:c>
      <x:c r="I39" s="89" t="n">
        <x:f>C39-D39</x:f>
        <x:v>0.0050156985871271376</x:v>
      </x:c>
      <x:c r="J39" t="str">
        <x:f>IF(C39&gt;D39,"A",IF(D39&gt;C39,"B","Tie"))</x:f>
        <x:v>A</x:v>
      </x:c>
    </x:row>
    <x:row r="40">
      <x:c r="A40" t="n">
        <x:v>37</x:v>
      </x:c>
      <x:c r="B40" t="str">
        <x:v>Baby Bottle</x:v>
      </x:c>
      <x:c r="C40" s="89" t="n">
        <x:f>Scoring!V75</x:f>
        <x:v>0.81625</x:v>
      </x:c>
      <x:c r="D40" s="89" t="n">
        <x:f>Scoring!V76</x:f>
        <x:v>0.8350961538461539</x:v>
      </x:c>
      <x:c r="E40" s="89" t="n">
        <x:f>ABS(C40-D40)</x:f>
        <x:v>0.018846153846153846</x:v>
      </x:c>
      <x:c r="F40" t="n">
        <x:f>Scoring!U75</x:f>
        <x:v>2</x:v>
      </x:c>
      <x:c r="G40" t="n">
        <x:f>Scoring!U76</x:f>
        <x:v>2</x:v>
      </x:c>
      <x:c r="H40" t="n">
        <x:f>ABS(F40-G40)</x:f>
        <x:v>0</x:v>
      </x:c>
      <x:c r="I40" s="89" t="n">
        <x:f>C40-D40</x:f>
        <x:v>-0.018846153846153846</x:v>
      </x:c>
      <x:c r="J40" t="str">
        <x:f>IF(C40&gt;D40,"A",IF(D40&gt;C40,"B","Tie"))</x:f>
        <x:v>B</x:v>
      </x:c>
    </x:row>
    <x:row r="41">
      <x:c r="A41" t="n">
        <x:v>38</x:v>
      </x:c>
      <x:c r="B41" t="str">
        <x:v>Indoor Plant Pot</x:v>
      </x:c>
      <x:c r="C41" s="89" t="n">
        <x:f>Scoring!V77</x:f>
        <x:v>0.8522448979591837</x:v>
      </x:c>
      <x:c r="D41" s="89" t="n">
        <x:f>Scoring!V78</x:f>
        <x:v>0.8729411764705882</x:v>
      </x:c>
      <x:c r="E41" s="89" t="n">
        <x:f>ABS(C41-D41)</x:f>
        <x:v>0.020696278511404542</x:v>
      </x:c>
      <x:c r="F41" t="n">
        <x:f>Scoring!U77</x:f>
        <x:v>1</x:v>
      </x:c>
      <x:c r="G41" t="n">
        <x:f>Scoring!U78</x:f>
        <x:v>1</x:v>
      </x:c>
      <x:c r="H41" t="n">
        <x:f>ABS(F41-G41)</x:f>
        <x:v>0</x:v>
      </x:c>
      <x:c r="I41" s="89" t="n">
        <x:f>C41-D41</x:f>
        <x:v>-0.020696278511404542</x:v>
      </x:c>
      <x:c r="J41" t="str">
        <x:f>IF(C41&gt;D41,"A",IF(D41&gt;C41,"B","Tie"))</x:f>
        <x:v>B</x:v>
      </x:c>
    </x:row>
    <x:row r="42">
      <x:c r="A42" t="n">
        <x:v>39</x:v>
      </x:c>
      <x:c r="B42" t="str">
        <x:v>Camping Stove</x:v>
      </x:c>
      <x:c r="C42" s="89" t="n">
        <x:f>Scoring!V79</x:f>
        <x:v>0.8075266524520255</x:v>
      </x:c>
      <x:c r="D42" s="89" t="n">
        <x:f>Scoring!V80</x:f>
        <x:v>0.8454545454545455</x:v>
      </x:c>
      <x:c r="E42" s="89" t="n">
        <x:f>ABS(C42-D42)</x:f>
        <x:v>0.037927893002519975</x:v>
      </x:c>
      <x:c r="F42" t="n">
        <x:f>Scoring!U79</x:f>
        <x:v>2</x:v>
      </x:c>
      <x:c r="G42" t="n">
        <x:f>Scoring!U80</x:f>
        <x:v>1</x:v>
      </x:c>
      <x:c r="H42" t="n">
        <x:f>ABS(F42-G42)</x:f>
        <x:v>1</x:v>
      </x:c>
      <x:c r="I42" s="89" t="n">
        <x:f>C42-D42</x:f>
        <x:v>-0.037927893002519975</x:v>
      </x:c>
      <x:c r="J42" t="str">
        <x:f>IF(C42&gt;D42,"A",IF(D42&gt;C42,"B","Tie"))</x:f>
        <x:v>B</x:v>
      </x:c>
    </x:row>
    <x:row r="43">
      <x:c r="A43" t="n">
        <x:v>40</x:v>
      </x:c>
      <x:c r="B43" t="str">
        <x:v>Specialty Tea</x:v>
      </x:c>
      <x:c r="C43" s="89" t="n">
        <x:f>Scoring!V81</x:f>
        <x:v>0.8766666666666667</x:v>
      </x:c>
      <x:c r="D43" s="89" t="n">
        <x:f>Scoring!V82</x:f>
        <x:v>0.8777777777777778</x:v>
      </x:c>
      <x:c r="E43" s="89" t="n">
        <x:f>ABS(C43-D43)</x:f>
        <x:v>0.0011111111111110628</x:v>
      </x:c>
      <x:c r="F43" t="n">
        <x:f>Scoring!U81</x:f>
        <x:v>1</x:v>
      </x:c>
      <x:c r="G43" t="n">
        <x:f>Scoring!U82</x:f>
        <x:v>1</x:v>
      </x:c>
      <x:c r="H43" t="n">
        <x:f>ABS(F43-G43)</x:f>
        <x:v>0</x:v>
      </x:c>
      <x:c r="I43" s="89" t="n">
        <x:f>C43-D43</x:f>
        <x:v>-0.0011111111111110628</x:v>
      </x:c>
      <x:c r="J43" t="str">
        <x:f>IF(C43&gt;D43,"A",IF(D43&gt;C43,"B","Tie"))</x:f>
        <x:v>B</x:v>
      </x:c>
    </x:row>
    <x:row r="44">
      <x:c r="A44" t="n">
        <x:v>41</x:v>
      </x:c>
      <x:c r="B44" t="str">
        <x:v>Smartphone</x:v>
      </x:c>
      <x:c r="C44" s="89" t="n">
        <x:f>Scoring!V83</x:f>
        <x:v>0.7975819672131148</x:v>
      </x:c>
      <x:c r="D44" s="89" t="n">
        <x:f>Scoring!V84</x:f>
        <x:v>0.6790024630541873</x:v>
      </x:c>
      <x:c r="E44" s="89" t="n">
        <x:f>ABS(C44-D44)</x:f>
        <x:v>0.11857950415892748</x:v>
      </x:c>
      <x:c r="F44" t="n">
        <x:f>Scoring!U83</x:f>
        <x:v>2</x:v>
      </x:c>
      <x:c r="G44" t="n">
        <x:f>Scoring!U84</x:f>
        <x:v>2</x:v>
      </x:c>
      <x:c r="H44" t="n">
        <x:f>ABS(F44-G44)</x:f>
        <x:v>0</x:v>
      </x:c>
      <x:c r="I44" s="89" t="n">
        <x:f>C44-D44</x:f>
        <x:v>0.11857950415892748</x:v>
      </x:c>
      <x:c r="J44" t="str">
        <x:f>IF(C44&gt;D44,"A",IF(D44&gt;C44,"B","Tie"))</x:f>
        <x:v>A</x:v>
      </x:c>
    </x:row>
    <x:row r="45">
      <x:c r="A45" t="n">
        <x:v>42</x:v>
      </x:c>
      <x:c r="B45" t="str">
        <x:v>Laptop</x:v>
      </x:c>
      <x:c r="C45" s="89" t="n">
        <x:f>Scoring!V85</x:f>
        <x:v>0.7306561085972851</x:v>
      </x:c>
      <x:c r="D45" s="89" t="n">
        <x:f>Scoring!V86</x:f>
        <x:v>0.8365347593582887</x:v>
      </x:c>
      <x:c r="E45" s="89" t="n">
        <x:f>ABS(C45-D45)</x:f>
        <x:v>0.10587865076100356</x:v>
      </x:c>
      <x:c r="F45" t="n">
        <x:f>Scoring!U85</x:f>
        <x:v>2</x:v>
      </x:c>
      <x:c r="G45" t="n">
        <x:f>Scoring!U86</x:f>
        <x:v>1</x:v>
      </x:c>
      <x:c r="H45" t="n">
        <x:f>ABS(F45-G45)</x:f>
        <x:v>1</x:v>
      </x:c>
      <x:c r="I45" s="89" t="n">
        <x:f>C45-D45</x:f>
        <x:v>-0.10587865076100356</x:v>
      </x:c>
      <x:c r="J45" t="str">
        <x:f>IF(C45&gt;D45,"A",IF(D45&gt;C45,"B","Tie"))</x:f>
        <x:v>B</x:v>
      </x:c>
    </x:row>
    <x:row r="46">
      <x:c r="A46" t="n">
        <x:v>43</x:v>
      </x:c>
      <x:c r="B46" t="str">
        <x:v>Wireless Earbuds</x:v>
      </x:c>
      <x:c r="C46" s="89" t="n">
        <x:f>Scoring!V87</x:f>
        <x:v>0.8476363636363636</x:v>
      </x:c>
      <x:c r="D46" s="89" t="n">
        <x:f>Scoring!V88</x:f>
        <x:v>0.84</x:v>
      </x:c>
      <x:c r="E46" s="89" t="n">
        <x:f>ABS(C46-D46)</x:f>
        <x:v>0.007636363636363663</x:v>
      </x:c>
      <x:c r="F46" t="n">
        <x:f>Scoring!U87</x:f>
        <x:v>1</x:v>
      </x:c>
      <x:c r="G46" t="n">
        <x:f>Scoring!U88</x:f>
        <x:v>1</x:v>
      </x:c>
      <x:c r="H46" t="n">
        <x:f>ABS(F46-G46)</x:f>
        <x:v>0</x:v>
      </x:c>
      <x:c r="I46" s="89" t="n">
        <x:f>C46-D46</x:f>
        <x:v>0.007636363636363663</x:v>
      </x:c>
      <x:c r="J46" t="str">
        <x:f>IF(C46&gt;D46,"A",IF(D46&gt;C46,"B","Tie"))</x:f>
        <x:v>A</x:v>
      </x:c>
    </x:row>
    <x:row r="47">
      <x:c r="A47" t="n">
        <x:v>44</x:v>
      </x:c>
      <x:c r="B47" t="str">
        <x:v>Mechanical Keyboard</x:v>
      </x:c>
      <x:c r="C47" s="89" t="n">
        <x:f>Scoring!V89</x:f>
        <x:v>0.8036029411764706</x:v>
      </x:c>
      <x:c r="D47" s="89" t="n">
        <x:f>Scoring!V90</x:f>
        <x:v>0.8160851926977688</x:v>
      </x:c>
      <x:c r="E47" s="89" t="n">
        <x:f>ABS(C47-D47)</x:f>
        <x:v>0.012482251521298227</x:v>
      </x:c>
      <x:c r="F47" t="n">
        <x:f>Scoring!U89</x:f>
        <x:v>2</x:v>
      </x:c>
      <x:c r="G47" t="n">
        <x:f>Scoring!U90</x:f>
        <x:v>2</x:v>
      </x:c>
      <x:c r="H47" t="n">
        <x:f>ABS(F47-G47)</x:f>
        <x:v>0</x:v>
      </x:c>
      <x:c r="I47" s="89" t="n">
        <x:f>C47-D47</x:f>
        <x:v>-0.012482251521298227</x:v>
      </x:c>
      <x:c r="J47" t="str">
        <x:f>IF(C47&gt;D47,"A",IF(D47&gt;C47,"B","Tie"))</x:f>
        <x:v>B</x:v>
      </x:c>
    </x:row>
    <x:row r="48">
      <x:c r="A48" t="n">
        <x:v>45</x:v>
      </x:c>
      <x:c r="B48" t="str">
        <x:v>Refrigerator</x:v>
      </x:c>
      <x:c r="C48" s="89" t="n">
        <x:f>Scoring!V91</x:f>
        <x:v>0.8462068965517241</x:v>
      </x:c>
      <x:c r="D48" s="89" t="n">
        <x:f>Scoring!V92</x:f>
        <x:v>0.8016674573055028</x:v>
      </x:c>
      <x:c r="E48" s="89" t="n">
        <x:f>ABS(C48-D48)</x:f>
        <x:v>0.04453943924622128</x:v>
      </x:c>
      <x:c r="F48" t="n">
        <x:f>Scoring!U91</x:f>
        <x:v>1</x:v>
      </x:c>
      <x:c r="G48" t="n">
        <x:f>Scoring!U92</x:f>
        <x:v>2</x:v>
      </x:c>
      <x:c r="H48" t="n">
        <x:f>ABS(F48-G48)</x:f>
        <x:v>1</x:v>
      </x:c>
      <x:c r="I48" s="89" t="n">
        <x:f>C48-D48</x:f>
        <x:v>0.04453943924622128</x:v>
      </x:c>
      <x:c r="J48" t="str">
        <x:f>IF(C48&gt;D48,"A",IF(D48&gt;C48,"B","Tie"))</x:f>
        <x:v>A</x:v>
      </x:c>
    </x:row>
    <x:row r="49">
      <x:c r="A49" t="n">
        <x:v>46</x:v>
      </x:c>
      <x:c r="B49" t="str">
        <x:v>Motorcycle Helmet</x:v>
      </x:c>
      <x:c r="C49" s="89" t="n">
        <x:f>Scoring!V93</x:f>
        <x:v>0.8080606060606059</x:v>
      </x:c>
      <x:c r="D49" s="89" t="n">
        <x:f>Scoring!V94</x:f>
        <x:v>0.8378947368421052</x:v>
      </x:c>
      <x:c r="E49" s="89" t="n">
        <x:f>ABS(C49-D49)</x:f>
        <x:v>0.029834130781499324</x:v>
      </x:c>
      <x:c r="F49" t="n">
        <x:f>Scoring!U93</x:f>
        <x:v>2</x:v>
      </x:c>
      <x:c r="G49" t="n">
        <x:f>Scoring!U94</x:f>
        <x:v>1</x:v>
      </x:c>
      <x:c r="H49" t="n">
        <x:f>ABS(F49-G49)</x:f>
        <x:v>1</x:v>
      </x:c>
      <x:c r="I49" s="89" t="n">
        <x:f>C49-D49</x:f>
        <x:v>-0.029834130781499324</x:v>
      </x:c>
      <x:c r="J49" t="str">
        <x:f>IF(C49&gt;D49,"A",IF(D49&gt;C49,"B","Tie"))</x:f>
        <x:v>B</x:v>
      </x:c>
    </x:row>
    <x:row r="50">
      <x:c r="A50" t="n">
        <x:v>47</x:v>
      </x:c>
      <x:c r="B50" t="str">
        <x:v>Backpack</x:v>
      </x:c>
      <x:c r="C50" s="89" t="n">
        <x:f>Scoring!V95</x:f>
        <x:v>0.8476363636363636</x:v>
      </x:c>
      <x:c r="D50" s="89" t="n">
        <x:f>Scoring!V96</x:f>
        <x:v>0.8307236842105263</x:v>
      </x:c>
      <x:c r="E50" s="89" t="n">
        <x:f>ABS(C50-D50)</x:f>
        <x:v>0.016912679425837296</x:v>
      </x:c>
      <x:c r="F50" t="n">
        <x:f>Scoring!U95</x:f>
        <x:v>1</x:v>
      </x:c>
      <x:c r="G50" t="n">
        <x:f>Scoring!U96</x:f>
        <x:v>2</x:v>
      </x:c>
      <x:c r="H50" t="n">
        <x:f>ABS(F50-G50)</x:f>
        <x:v>1</x:v>
      </x:c>
      <x:c r="I50" s="89" t="n">
        <x:f>C50-D50</x:f>
        <x:v>0.016912679425837296</x:v>
      </x:c>
      <x:c r="J50" t="str">
        <x:f>IF(C50&gt;D50,"A",IF(D50&gt;C50,"B","Tie"))</x:f>
        <x:v>A</x:v>
      </x:c>
    </x:row>
    <x:row r="51">
      <x:c r="A51" t="n">
        <x:v>48</x:v>
      </x:c>
      <x:c r="B51" t="str">
        <x:v>Coffee Beans</x:v>
      </x:c>
      <x:c r="C51" s="89" t="n">
        <x:f>Scoring!V97</x:f>
        <x:v>0.8498181818181818</x:v>
      </x:c>
      <x:c r="D51" s="89" t="n">
        <x:f>Scoring!V98</x:f>
        <x:v>0.8285057471264367</x:v>
      </x:c>
      <x:c r="E51" s="89" t="n">
        <x:f>ABS(C51-D51)</x:f>
        <x:v>0.021312434691745152</x:v>
      </x:c>
      <x:c r="F51" t="n">
        <x:f>Scoring!U97</x:f>
        <x:v>1</x:v>
      </x:c>
      <x:c r="G51" t="n">
        <x:f>Scoring!U98</x:f>
        <x:v>2</x:v>
      </x:c>
      <x:c r="H51" t="n">
        <x:f>ABS(F51-G51)</x:f>
        <x:v>1</x:v>
      </x:c>
      <x:c r="I51" s="89" t="n">
        <x:f>C51-D51</x:f>
        <x:v>0.021312434691745152</x:v>
      </x:c>
      <x:c r="J51" t="str">
        <x:f>IF(C51&gt;D51,"A",IF(D51&gt;C51,"B","Tie"))</x:f>
        <x:v>A</x:v>
      </x:c>
    </x:row>
    <x:row r="52">
      <x:c r="A52" t="n">
        <x:v>49</x:v>
      </x:c>
      <x:c r="B52" t="str">
        <x:v>Sunscreen</x:v>
      </x:c>
      <x:c r="C52" s="89" t="n">
        <x:f>Scoring!V99</x:f>
        <x:v>0.8026923076923076</x:v>
      </x:c>
      <x:c r="D52" s="89" t="n">
        <x:f>Scoring!V100</x:f>
        <x:v>0.665</x:v>
      </x:c>
      <x:c r="E52" s="89" t="n">
        <x:f>ABS(C52-D52)</x:f>
        <x:v>0.13769230769230756</x:v>
      </x:c>
      <x:c r="F52" t="n">
        <x:f>Scoring!U99</x:f>
        <x:v>2</x:v>
      </x:c>
      <x:c r="G52" t="n">
        <x:f>Scoring!U100</x:f>
        <x:v>2</x:v>
      </x:c>
      <x:c r="H52" t="n">
        <x:f>ABS(F52-G52)</x:f>
        <x:v>0</x:v>
      </x:c>
      <x:c r="I52" s="89" t="n">
        <x:f>C52-D52</x:f>
        <x:v>0.13769230769230756</x:v>
      </x:c>
      <x:c r="J52" t="str">
        <x:f>IF(C52&gt;D52,"A",IF(D52&gt;C52,"B","Tie"))</x:f>
        <x:v>A</x:v>
      </x:c>
    </x:row>
    <x:row r="53">
      <x:c r="A53" t="n">
        <x:v>50</x:v>
      </x:c>
      <x:c r="B53" t="str">
        <x:v>Air Fryer</x:v>
      </x:c>
      <x:c r="C53" s="89" t="n">
        <x:f>Scoring!V101</x:f>
        <x:v>0.8410526315789474</x:v>
      </x:c>
      <x:c r="D53" s="89" t="n">
        <x:f>Scoring!V102</x:f>
        <x:v>0.8149683257918551</x:v>
      </x:c>
      <x:c r="E53" s="89" t="n">
        <x:f>ABS(C53-D53)</x:f>
        <x:v>0.02608430578709231</x:v>
      </x:c>
      <x:c r="F53" t="n">
        <x:f>Scoring!U101</x:f>
        <x:v>1</x:v>
      </x:c>
      <x:c r="G53" t="n">
        <x:f>Scoring!U102</x:f>
        <x:v>2</x:v>
      </x:c>
      <x:c r="H53" t="n">
        <x:f>ABS(F53-G53)</x:f>
        <x:v>1</x:v>
      </x:c>
      <x:c r="I53" s="89" t="n">
        <x:f>C53-D53</x:f>
        <x:v>0.02608430578709231</x:v>
      </x:c>
      <x:c r="J53" t="str">
        <x:f>IF(C53&gt;D53,"A",IF(D53&gt;C53,"B","Tie"))</x:f>
        <x:v>A</x:v>
      </x:c>
    </x:row>
    <x:row r="54">
      <x:c r="A54" t="n">
        <x:v>51</x:v>
      </x:c>
      <x:c r="B54" t="str">
        <x:v>Running Shoes</x:v>
      </x:c>
      <x:c r="C54" s="89" t="n">
        <x:f>Scoring!V103</x:f>
        <x:v>0.8234318181818182</x:v>
      </x:c>
      <x:c r="D54" s="89" t="n">
        <x:f>Scoring!V104</x:f>
        <x:v>0.8454807692307693</x:v>
      </x:c>
      <x:c r="E54" s="89" t="n">
        <x:f>ABS(C54-D54)</x:f>
        <x:v>0.022048951048951104</x:v>
      </x:c>
      <x:c r="F54" t="n">
        <x:f>Scoring!U103</x:f>
        <x:v>2</x:v>
      </x:c>
      <x:c r="G54" t="n">
        <x:f>Scoring!U104</x:f>
        <x:v>2</x:v>
      </x:c>
      <x:c r="H54" t="n">
        <x:f>ABS(F54-G54)</x:f>
        <x:v>0</x:v>
      </x:c>
      <x:c r="I54" s="89" t="n">
        <x:f>C54-D54</x:f>
        <x:v>-0.022048951048951104</x:v>
      </x:c>
      <x:c r="J54" t="str">
        <x:f>IF(C54&gt;D54,"A",IF(D54&gt;C54,"B","Tie"))</x:f>
        <x:v>B</x:v>
      </x:c>
    </x:row>
    <x:row r="55">
      <x:c r="A55" t="n">
        <x:v>52</x:v>
      </x:c>
      <x:c r="B55" t="str">
        <x:v>Electric Toothbrush</x:v>
      </x:c>
      <x:c r="C55" s="89" t="n">
        <x:f>Scoring!V105</x:f>
        <x:v>0.8530434782608696</x:v>
      </x:c>
      <x:c r="D55" s="89" t="n">
        <x:f>Scoring!V106</x:f>
        <x:v>0.8196862745098038</x:v>
      </x:c>
      <x:c r="E55" s="89" t="n">
        <x:f>ABS(C55-D55)</x:f>
        <x:v>0.03335720375106577</x:v>
      </x:c>
      <x:c r="F55" t="n">
        <x:f>Scoring!U105</x:f>
        <x:v>1</x:v>
      </x:c>
      <x:c r="G55" t="n">
        <x:f>Scoring!U106</x:f>
        <x:v>1</x:v>
      </x:c>
      <x:c r="H55" t="n">
        <x:f>ABS(F55-G55)</x:f>
        <x:v>0</x:v>
      </x:c>
      <x:c r="I55" s="89" t="n">
        <x:f>C55-D55</x:f>
        <x:v>0.03335720375106577</x:v>
      </x:c>
      <x:c r="J55" t="str">
        <x:f>IF(C55&gt;D55,"A",IF(D55&gt;C55,"B","Tie"))</x:f>
        <x:v>A</x:v>
      </x:c>
    </x:row>
    <x:row r="56">
      <x:c r="A56" t="n">
        <x:v>53</x:v>
      </x:c>
      <x:c r="B56" t="str">
        <x:v>Smartwatch</x:v>
      </x:c>
      <x:c r="C56" s="89" t="n">
        <x:f>Scoring!V107</x:f>
        <x:v>0.8165957446808512</x:v>
      </x:c>
      <x:c r="D56" s="89" t="n">
        <x:f>Scoring!V108</x:f>
        <x:v>0.8230612244897959</x:v>
      </x:c>
      <x:c r="E56" s="89" t="n">
        <x:f>ABS(C56-D56)</x:f>
        <x:v>0.006465479808944741</x:v>
      </x:c>
      <x:c r="F56" t="n">
        <x:f>Scoring!U107</x:f>
        <x:v>2</x:v>
      </x:c>
      <x:c r="G56" t="n">
        <x:f>Scoring!U108</x:f>
        <x:v>2</x:v>
      </x:c>
      <x:c r="H56" t="n">
        <x:f>ABS(F56-G56)</x:f>
        <x:v>0</x:v>
      </x:c>
      <x:c r="I56" s="89" t="n">
        <x:f>C56-D56</x:f>
        <x:v>-0.006465479808944741</x:v>
      </x:c>
      <x:c r="J56" t="str">
        <x:f>IF(C56&gt;D56,"A",IF(D56&gt;C56,"B","Tie"))</x:f>
        <x:v>B</x:v>
      </x:c>
    </x:row>
    <x:row r="57">
      <x:c r="A57" t="n">
        <x:v>54</x:v>
      </x:c>
      <x:c r="B57" t="str">
        <x:v>Home Office Chair</x:v>
      </x:c>
      <x:c r="C57" s="89" t="n">
        <x:f>Scoring!V109</x:f>
        <x:v>0.7535000000000001</x:v>
      </x:c>
      <x:c r="D57" s="89" t="n">
        <x:f>Scoring!V110</x:f>
        <x:v>0.858173076923077</x:v>
      </x:c>
      <x:c r="E57" s="89" t="n">
        <x:f>ABS(C57-D57)</x:f>
        <x:v>0.10467307692307692</x:v>
      </x:c>
      <x:c r="F57" t="n">
        <x:f>Scoring!U109</x:f>
        <x:v>2</x:v>
      </x:c>
      <x:c r="G57" t="n">
        <x:f>Scoring!U110</x:f>
        <x:v>2</x:v>
      </x:c>
      <x:c r="H57" t="n">
        <x:f>ABS(F57-G57)</x:f>
        <x:v>0</x:v>
      </x:c>
      <x:c r="I57" s="89" t="n">
        <x:f>C57-D57</x:f>
        <x:v>-0.10467307692307692</x:v>
      </x:c>
      <x:c r="J57" t="str">
        <x:f>IF(C57&gt;D57,"A",IF(D57&gt;C57,"B","Tie"))</x:f>
        <x:v>B</x:v>
      </x:c>
    </x:row>
    <x:row r="58">
      <x:c r="A58" t="n">
        <x:v>55</x:v>
      </x:c>
      <x:c r="B58" t="str">
        <x:v>Rice Cooker</x:v>
      </x:c>
      <x:c r="C58" s="89" t="n">
        <x:f>Scoring!V111</x:f>
        <x:v>0.8288660990712073</x:v>
      </x:c>
      <x:c r="D58" s="89" t="n">
        <x:f>Scoring!V112</x:f>
        <x:v>0.7860784313725488</x:v>
      </x:c>
      <x:c r="E58" s="89" t="n">
        <x:f>ABS(C58-D58)</x:f>
        <x:v>0.042787667698658494</x:v>
      </x:c>
      <x:c r="F58" t="n">
        <x:f>Scoring!U111</x:f>
        <x:v>2</x:v>
      </x:c>
      <x:c r="G58" t="n">
        <x:f>Scoring!U112</x:f>
        <x:v>2</x:v>
      </x:c>
      <x:c r="H58" t="n">
        <x:f>ABS(F58-G58)</x:f>
        <x:v>0</x:v>
      </x:c>
      <x:c r="I58" s="89" t="n">
        <x:f>C58-D58</x:f>
        <x:v>0.042787667698658494</x:v>
      </x:c>
      <x:c r="J58" t="str">
        <x:f>IF(C58&gt;D58,"A",IF(D58&gt;C58,"B","Tie"))</x:f>
        <x:v>A</x:v>
      </x:c>
    </x:row>
    <x:row r="59">
      <x:c r="A59" t="n">
        <x:v>56</x:v>
      </x:c>
      <x:c r="B59" t="str">
        <x:v>Travel Backpack</x:v>
      </x:c>
      <x:c r="C59" s="89" t="n">
        <x:f>Scoring!V113</x:f>
        <x:v>0.7989772727272728</x:v>
      </x:c>
      <x:c r="D59" s="89" t="n">
        <x:f>Scoring!V114</x:f>
        <x:v>0.7225595238095238</x:v>
      </x:c>
      <x:c r="E59" s="89" t="n">
        <x:f>ABS(C59-D59)</x:f>
        <x:v>0.076417748917749</x:v>
      </x:c>
      <x:c r="F59" t="n">
        <x:f>Scoring!U113</x:f>
        <x:v>2</x:v>
      </x:c>
      <x:c r="G59" t="n">
        <x:f>Scoring!U114</x:f>
        <x:v>2</x:v>
      </x:c>
      <x:c r="H59" t="n">
        <x:f>ABS(F59-G59)</x:f>
        <x:v>0</x:v>
      </x:c>
      <x:c r="I59" s="89" t="n">
        <x:f>C59-D59</x:f>
        <x:v>0.076417748917749</x:v>
      </x:c>
      <x:c r="J59" t="str">
        <x:f>IF(C59&gt;D59,"A",IF(D59&gt;C59,"B","Tie"))</x:f>
        <x:v>A</x:v>
      </x:c>
    </x:row>
    <x:row r="60">
      <x:c r="A60" t="n">
        <x:v>57</x:v>
      </x:c>
      <x:c r="B60" t="str">
        <x:v>Green Tea</x:v>
      </x:c>
      <x:c r="C60" s="89" t="n">
        <x:f>Scoring!V115</x:f>
        <x:v>0.8288157894736842</x:v>
      </x:c>
      <x:c r="D60" s="89" t="n">
        <x:f>Scoring!V116</x:f>
        <x:v>0.8099175824175825</x:v>
      </x:c>
      <x:c r="E60" s="89" t="n">
        <x:f>ABS(C60-D60)</x:f>
        <x:v>0.01889820705610168</x:v>
      </x:c>
      <x:c r="F60" t="n">
        <x:f>Scoring!U115</x:f>
        <x:v>2</x:v>
      </x:c>
      <x:c r="G60" t="n">
        <x:f>Scoring!U116</x:f>
        <x:v>2</x:v>
      </x:c>
      <x:c r="H60" t="n">
        <x:f>ABS(F60-G60)</x:f>
        <x:v>0</x:v>
      </x:c>
      <x:c r="I60" s="89" t="n">
        <x:f>C60-D60</x:f>
        <x:v>0.01889820705610168</x:v>
      </x:c>
      <x:c r="J60" t="str">
        <x:f>IF(C60&gt;D60,"A",IF(D60&gt;C60,"B","Tie"))</x:f>
        <x:v>A</x:v>
      </x:c>
    </x:row>
    <x:row r="61">
      <x:c r="A61" t="n">
        <x:v>58</x:v>
      </x:c>
      <x:c r="B61" t="str">
        <x:v>Camera Tripod</x:v>
      </x:c>
      <x:c r="C61" s="89" t="n">
        <x:f>Scoring!V117</x:f>
        <x:v>0.7880437756497948</x:v>
      </x:c>
      <x:c r="D61" s="89" t="n">
        <x:f>Scoring!V118</x:f>
        <x:v>0.839614973262032</x:v>
      </x:c>
      <x:c r="E61" s="89" t="n">
        <x:f>ABS(C61-D61)</x:f>
        <x:v>0.051571197612237274</x:v>
      </x:c>
      <x:c r="F61" t="n">
        <x:f>Scoring!U117</x:f>
        <x:v>2</x:v>
      </x:c>
      <x:c r="G61" t="n">
        <x:f>Scoring!U118</x:f>
        <x:v>2</x:v>
      </x:c>
      <x:c r="H61" t="n">
        <x:f>ABS(F61-G61)</x:f>
        <x:v>0</x:v>
      </x:c>
      <x:c r="I61" s="89" t="n">
        <x:f>C61-D61</x:f>
        <x:v>-0.051571197612237274</x:v>
      </x:c>
      <x:c r="J61" t="str">
        <x:f>IF(C61&gt;D61,"A",IF(D61&gt;C61,"B","Tie"))</x:f>
        <x:v>B</x:v>
      </x:c>
    </x:row>
    <x:row r="62">
      <x:c r="A62" t="n">
        <x:v>59</x:v>
      </x:c>
      <x:c r="B62" t="str">
        <x:v>Induction Cooktop</x:v>
      </x:c>
      <x:c r="C62" s="89" t="n">
        <x:f>Scoring!V119</x:f>
        <x:v>0.85125</x:v>
      </x:c>
      <x:c r="D62" s="89" t="n">
        <x:f>Scoring!V120</x:f>
        <x:v>0.8451063829787234</x:v>
      </x:c>
      <x:c r="E62" s="89" t="n">
        <x:f>ABS(C62-D62)</x:f>
        <x:v>0.006143617021276526</x:v>
      </x:c>
      <x:c r="F62" t="n">
        <x:f>Scoring!U119</x:f>
        <x:v>1</x:v>
      </x:c>
      <x:c r="G62" t="n">
        <x:f>Scoring!U120</x:f>
        <x:v>1</x:v>
      </x:c>
      <x:c r="H62" t="n">
        <x:f>ABS(F62-G62)</x:f>
        <x:v>0</x:v>
      </x:c>
      <x:c r="I62" s="89" t="n">
        <x:f>C62-D62</x:f>
        <x:v>0.006143617021276526</x:v>
      </x:c>
      <x:c r="J62" t="str">
        <x:f>IF(C62&gt;D62,"A",IF(D62&gt;C62,"B","Tie"))</x:f>
        <x:v>A</x:v>
      </x:c>
    </x:row>
    <x:row r="63">
      <x:c r="A63" t="n">
        <x:v>60</x:v>
      </x:c>
      <x:c r="B63" t="str">
        <x:v>Skincare Moisturizer</x:v>
      </x:c>
      <x:c r="C63" s="89" t="n">
        <x:f>Scoring!V121</x:f>
        <x:v>0.7913888888888889</x:v>
      </x:c>
      <x:c r="D63" s="89" t="n">
        <x:f>Scoring!V122</x:f>
        <x:v>0.8144145569620254</x:v>
      </x:c>
      <x:c r="E63" s="89" t="n">
        <x:f>ABS(C63-D63)</x:f>
        <x:v>0.02302566807313644</x:v>
      </x:c>
      <x:c r="F63" t="n">
        <x:f>Scoring!U121</x:f>
        <x:v>2</x:v>
      </x:c>
      <x:c r="G63" t="n">
        <x:f>Scoring!U122</x:f>
        <x:v>1</x:v>
      </x:c>
      <x:c r="H63" t="n">
        <x:f>ABS(F63-G63)</x:f>
        <x:v>1</x:v>
      </x:c>
      <x:c r="I63" s="89" t="n">
        <x:f>C63-D63</x:f>
        <x:v>-0.02302566807313644</x:v>
      </x:c>
      <x:c r="J63" t="str">
        <x:f>IF(C63&gt;D63,"A",IF(D63&gt;C63,"B","Tie"))</x:f>
        <x:v>B</x:v>
      </x:c>
    </x:row>
    <x:row r="64">
      <x:c r="A64" t="n">
        <x:v>61</x:v>
      </x:c>
      <x:c r="B64" t="str">
        <x:v>Electric Vehicles</x:v>
      </x:c>
      <x:c r="C64" s="89" t="n">
        <x:f>Scoring!V123</x:f>
        <x:v>0.85625</x:v>
      </x:c>
      <x:c r="D64" s="89" t="n">
        <x:f>Scoring!V124</x:f>
        <x:v>0.876</x:v>
      </x:c>
      <x:c r="E64" s="89" t="n">
        <x:f>ABS(C64-D64)</x:f>
        <x:v>0.019750000000000045</x:v>
      </x:c>
      <x:c r="F64" t="n">
        <x:f>Scoring!U123</x:f>
        <x:v>1</x:v>
      </x:c>
      <x:c r="G64" t="n">
        <x:f>Scoring!U124</x:f>
        <x:v>1</x:v>
      </x:c>
      <x:c r="H64" t="n">
        <x:f>ABS(F64-G64)</x:f>
        <x:v>0</x:v>
      </x:c>
      <x:c r="I64" s="89" t="n">
        <x:f>C64-D64</x:f>
        <x:v>-0.019750000000000045</x:v>
      </x:c>
      <x:c r="J64" t="str">
        <x:f>IF(C64&gt;D64,"A",IF(D64&gt;C64,"B","Tie"))</x:f>
        <x:v>B</x:v>
      </x:c>
    </x:row>
    <x:row r="65">
      <x:c r="A65" t="n">
        <x:v>62</x:v>
      </x:c>
      <x:c r="B65" t="str">
        <x:v>Home Internet</x:v>
      </x:c>
      <x:c r="C65" s="89" t="n">
        <x:f>Scoring!V125</x:f>
        <x:v>0.8512500000000001</x:v>
      </x:c>
      <x:c r="D65" s="89" t="n">
        <x:f>Scoring!V126</x:f>
        <x:v>0.8208418367346939</x:v>
      </x:c>
      <x:c r="E65" s="89" t="n">
        <x:f>ABS(C65-D65)</x:f>
        <x:v>0.030408163265306154</x:v>
      </x:c>
      <x:c r="F65" t="n">
        <x:f>Scoring!U125</x:f>
        <x:v>2</x:v>
      </x:c>
      <x:c r="G65" t="n">
        <x:f>Scoring!U126</x:f>
        <x:v>2</x:v>
      </x:c>
      <x:c r="H65" t="n">
        <x:f>ABS(F65-G65)</x:f>
        <x:v>0</x:v>
      </x:c>
      <x:c r="I65" s="89" t="n">
        <x:f>C65-D65</x:f>
        <x:v>0.030408163265306154</x:v>
      </x:c>
      <x:c r="J65" t="str">
        <x:f>IF(C65&gt;D65,"A",IF(D65&gt;C65,"B","Tie"))</x:f>
        <x:v>A</x:v>
      </x:c>
    </x:row>
    <x:row r="66">
      <x:c r="A66" t="n">
        <x:v>63</x:v>
      </x:c>
      <x:c r="B66" t="str">
        <x:v>DSLR Camera</x:v>
      </x:c>
      <x:c r="C66" s="89" t="n">
        <x:f>Scoring!V127</x:f>
        <x:v>0.8735593220338983</x:v>
      </x:c>
      <x:c r="D66" s="89" t="n">
        <x:f>Scoring!V128</x:f>
        <x:v>0.8709374999999999</x:v>
      </x:c>
      <x:c r="E66" s="89" t="n">
        <x:f>ABS(C66-D66)</x:f>
        <x:v>0.00262182203389838</x:v>
      </x:c>
      <x:c r="F66" t="n">
        <x:f>Scoring!U127</x:f>
        <x:v>1</x:v>
      </x:c>
      <x:c r="G66" t="n">
        <x:f>Scoring!U128</x:f>
        <x:v>1</x:v>
      </x:c>
      <x:c r="H66" t="n">
        <x:f>ABS(F66-G66)</x:f>
        <x:v>0</x:v>
      </x:c>
      <x:c r="I66" s="89" t="n">
        <x:f>C66-D66</x:f>
        <x:v>0.00262182203389838</x:v>
      </x:c>
      <x:c r="J66" t="str">
        <x:f>IF(C66&gt;D66,"A",IF(D66&gt;C66,"B","Tie"))</x:f>
        <x:v>A</x:v>
      </x:c>
    </x:row>
    <x:row r="67">
      <x:c r="A67" t="n">
        <x:v>64</x:v>
      </x:c>
      <x:c r="B67" t="str">
        <x:v>Water Purifier</x:v>
      </x:c>
      <x:c r="C67" s="89" t="n">
        <x:f>Scoring!V129</x:f>
        <x:v>0.8415982241953384</x:v>
      </x:c>
      <x:c r="D67" s="89" t="n">
        <x:f>Scoring!V130</x:f>
        <x:v>0.7267647058823529</x:v>
      </x:c>
      <x:c r="E67" s="89" t="n">
        <x:f>ABS(C67-D67)</x:f>
        <x:v>0.1148335183129855</x:v>
      </x:c>
      <x:c r="F67" t="n">
        <x:f>Scoring!U129</x:f>
        <x:v>1</x:v>
      </x:c>
      <x:c r="G67" t="n">
        <x:f>Scoring!U130</x:f>
        <x:v>2</x:v>
      </x:c>
      <x:c r="H67" t="n">
        <x:f>ABS(F67-G67)</x:f>
        <x:v>1</x:v>
      </x:c>
      <x:c r="I67" s="89" t="n">
        <x:f>C67-D67</x:f>
        <x:v>0.1148335183129855</x:v>
      </x:c>
      <x:c r="J67" t="str">
        <x:f>IF(C67&gt;D67,"A",IF(D67&gt;C67,"B","Tie"))</x:f>
        <x:v>A</x:v>
      </x:c>
    </x:row>
    <x:row r="68">
      <x:c r="A68" t="n">
        <x:v>65</x:v>
      </x:c>
      <x:c r="B68" t="str">
        <x:v>Hiking Boots</x:v>
      </x:c>
      <x:c r="C68" s="89" t="n">
        <x:f>Scoring!V131</x:f>
        <x:v>0.831438679245283</x:v>
      </x:c>
      <x:c r="D68" s="89" t="n">
        <x:f>Scoring!V132</x:f>
        <x:v>0.8285377358490567</x:v>
      </x:c>
      <x:c r="E68" s="89" t="n">
        <x:f>ABS(C68-D68)</x:f>
        <x:v>0.002900943396226374</x:v>
      </x:c>
      <x:c r="F68" t="n">
        <x:f>Scoring!U131</x:f>
        <x:v>1</x:v>
      </x:c>
      <x:c r="G68" t="n">
        <x:f>Scoring!U132</x:f>
        <x:v>2</x:v>
      </x:c>
      <x:c r="H68" t="n">
        <x:f>ABS(F68-G68)</x:f>
        <x:v>1</x:v>
      </x:c>
      <x:c r="I68" s="89" t="n">
        <x:f>C68-D68</x:f>
        <x:v>0.002900943396226374</x:v>
      </x:c>
      <x:c r="J68" t="str">
        <x:f>IF(C68&gt;D68,"A",IF(D68&gt;C68,"B","Tie"))</x:f>
        <x:v>A</x:v>
      </x:c>
    </x:row>
    <x:row r="69">
      <x:c r="A69" t="n">
        <x:v>66</x:v>
      </x:c>
      <x:c r="B69" t="str">
        <x:v>Baby Stroller</x:v>
      </x:c>
      <x:c r="C69" s="89" t="n">
        <x:f>Scoring!V133</x:f>
        <x:v>0.7447368421052631</x:v>
      </x:c>
      <x:c r="D69" s="89" t="n">
        <x:f>Scoring!V134</x:f>
        <x:v>0.7772023809523809</x:v>
      </x:c>
      <x:c r="E69" s="89" t="n">
        <x:f>ABS(C69-D69)</x:f>
        <x:v>0.03246553884711778</x:v>
      </x:c>
      <x:c r="F69" t="n">
        <x:f>Scoring!U133</x:f>
        <x:v>2</x:v>
      </x:c>
      <x:c r="G69" t="n">
        <x:f>Scoring!U134</x:f>
        <x:v>2</x:v>
      </x:c>
      <x:c r="H69" t="n">
        <x:f>ABS(F69-G69)</x:f>
        <x:v>0</x:v>
      </x:c>
      <x:c r="I69" s="89" t="n">
        <x:f>C69-D69</x:f>
        <x:v>-0.03246553884711778</x:v>
      </x:c>
      <x:c r="J69" t="str">
        <x:f>IF(C69&gt;D69,"A",IF(D69&gt;C69,"B","Tie"))</x:f>
        <x:v>B</x:v>
      </x:c>
    </x:row>
    <x:row r="70">
      <x:c r="A70" t="n">
        <x:v>67</x:v>
      </x:c>
      <x:c r="B70" t="str">
        <x:v>Electric Scooter</x:v>
      </x:c>
      <x:c r="C70" s="89" t="n">
        <x:f>Scoring!V135</x:f>
        <x:v>0.8361990950226244</x:v>
      </x:c>
      <x:c r="D70" s="89" t="n">
        <x:f>Scoring!V136</x:f>
        <x:v>0.8497213622291021</x:v>
      </x:c>
      <x:c r="E70" s="89" t="n">
        <x:f>ABS(C70-D70)</x:f>
        <x:v>0.013522267206477756</x:v>
      </x:c>
      <x:c r="F70" t="n">
        <x:f>Scoring!U135</x:f>
        <x:v>2</x:v>
      </x:c>
      <x:c r="G70" t="n">
        <x:f>Scoring!U136</x:f>
        <x:v>1</x:v>
      </x:c>
      <x:c r="H70" t="n">
        <x:f>ABS(F70-G70)</x:f>
        <x:v>1</x:v>
      </x:c>
      <x:c r="I70" s="89" t="n">
        <x:f>C70-D70</x:f>
        <x:v>-0.013522267206477756</x:v>
      </x:c>
      <x:c r="J70" t="str">
        <x:f>IF(C70&gt;D70,"A",IF(D70&gt;C70,"B","Tie"))</x:f>
        <x:v>B</x:v>
      </x:c>
    </x:row>
    <x:row r="71">
      <x:c r="A71" t="n">
        <x:v>68</x:v>
      </x:c>
      <x:c r="B71" t="str">
        <x:v>Desktop Monitor</x:v>
      </x:c>
      <x:c r="C71" s="89" t="n">
        <x:f>Scoring!V137</x:f>
        <x:v>0.849298245614035</x:v>
      </x:c>
      <x:c r="D71" s="89" t="n">
        <x:f>Scoring!V138</x:f>
        <x:v>0.8426666666666667</x:v>
      </x:c>
      <x:c r="E71" s="89" t="n">
        <x:f>ABS(C71-D71)</x:f>
        <x:v>0.006631578947368322</x:v>
      </x:c>
      <x:c r="F71" t="n">
        <x:f>Scoring!U137</x:f>
        <x:v>2</x:v>
      </x:c>
      <x:c r="G71" t="n">
        <x:f>Scoring!U138</x:f>
        <x:v>2</x:v>
      </x:c>
      <x:c r="H71" t="n">
        <x:f>ABS(F71-G71)</x:f>
        <x:v>0</x:v>
      </x:c>
      <x:c r="I71" s="89" t="n">
        <x:f>C71-D71</x:f>
        <x:v>0.006631578947368322</x:v>
      </x:c>
      <x:c r="J71" t="str">
        <x:f>IF(C71&gt;D71,"A",IF(D71&gt;C71,"B","Tie"))</x:f>
        <x:v>A</x:v>
      </x:c>
    </x:row>
    <x:row r="72">
      <x:c r="A72" t="n">
        <x:v>69</x:v>
      </x:c>
      <x:c r="B72" t="str">
        <x:v>Home Solar Panels</x:v>
      </x:c>
      <x:c r="C72" s="89" t="n">
        <x:f>Scoring!V139</x:f>
        <x:v>0.8652</x:v>
      </x:c>
      <x:c r="D72" s="89" t="n">
        <x:f>Scoring!V140</x:f>
        <x:v>0.8243406593406593</x:v>
      </x:c>
      <x:c r="E72" s="89" t="n">
        <x:f>ABS(C72-D72)</x:f>
        <x:v>0.040859340659340715</x:v>
      </x:c>
      <x:c r="F72" t="n">
        <x:f>Scoring!U139</x:f>
        <x:v>1</x:v>
      </x:c>
      <x:c r="G72" t="n">
        <x:f>Scoring!U140</x:f>
        <x:v>2</x:v>
      </x:c>
      <x:c r="H72" t="n">
        <x:f>ABS(F72-G72)</x:f>
        <x:v>1</x:v>
      </x:c>
      <x:c r="I72" s="89" t="n">
        <x:f>C72-D72</x:f>
        <x:v>0.040859340659340715</x:v>
      </x:c>
      <x:c r="J72" t="str">
        <x:f>IF(C72&gt;D72,"A",IF(D72&gt;C72,"B","Tie"))</x:f>
        <x:v>A</x:v>
      </x:c>
    </x:row>
    <x:row r="73">
      <x:c r="A73" t="n">
        <x:v>70</x:v>
      </x:c>
      <x:c r="B73" t="str">
        <x:v>Air Conditioner</x:v>
      </x:c>
      <x:c r="C73" s="89" t="n">
        <x:f>Scoring!V141</x:f>
        <x:v>0.8328691476590636</x:v>
      </x:c>
      <x:c r="D73" s="89" t="n">
        <x:f>Scoring!V142</x:f>
        <x:v>0.8458823529411763</x:v>
      </x:c>
      <x:c r="E73" s="89" t="n">
        <x:f>ABS(C73-D73)</x:f>
        <x:v>0.013013205282112694</x:v>
      </x:c>
      <x:c r="F73" t="n">
        <x:f>Scoring!U141</x:f>
        <x:v>2</x:v>
      </x:c>
      <x:c r="G73" t="n">
        <x:f>Scoring!U142</x:f>
        <x:v>2</x:v>
      </x:c>
      <x:c r="H73" t="n">
        <x:f>ABS(F73-G73)</x:f>
        <x:v>0</x:v>
      </x:c>
      <x:c r="I73" s="89" t="n">
        <x:f>C73-D73</x:f>
        <x:v>-0.013013205282112694</x:v>
      </x:c>
      <x:c r="J73" t="str">
        <x:f>IF(C73&gt;D73,"A",IF(D73&gt;C73,"B","Tie"))</x:f>
        <x:v>B</x:v>
      </x:c>
    </x:row>
    <x:row r="74">
      <x:c r="A74" t="n">
        <x:v>71</x:v>
      </x:c>
      <x:c r="B74" t="str">
        <x:v>DSLR Lens</x:v>
      </x:c>
      <x:c r="C74" s="89" t="n">
        <x:f>Scoring!V143</x:f>
        <x:v>0.7403571428571428</x:v>
      </x:c>
      <x:c r="D74" s="89" t="n">
        <x:f>Scoring!V144</x:f>
        <x:v>0.8303361344537814</x:v>
      </x:c>
      <x:c r="E74" s="89" t="n">
        <x:f>ABS(C74-D74)</x:f>
        <x:v>0.08997899159663858</x:v>
      </x:c>
      <x:c r="F74" t="n">
        <x:f>Scoring!U143</x:f>
        <x:v>2</x:v>
      </x:c>
      <x:c r="G74" t="n">
        <x:f>Scoring!U144</x:f>
        <x:v>2</x:v>
      </x:c>
      <x:c r="H74" t="n">
        <x:f>ABS(F74-G74)</x:f>
        <x:v>0</x:v>
      </x:c>
      <x:c r="I74" s="89" t="n">
        <x:f>C74-D74</x:f>
        <x:v>-0.08997899159663858</x:v>
      </x:c>
      <x:c r="J74" t="str">
        <x:f>IF(C74&gt;D74,"A",IF(D74&gt;C74,"B","Tie"))</x:f>
        <x:v>B</x:v>
      </x:c>
    </x:row>
    <x:row r="75">
      <x:c r="A75" t="n">
        <x:v>72</x:v>
      </x:c>
      <x:c r="B75" t="str">
        <x:v>Electric Kettle</x:v>
      </x:c>
      <x:c r="C75" s="89" t="n">
        <x:f>Scoring!V145</x:f>
        <x:v>0.6684069646569647</x:v>
      </x:c>
      <x:c r="D75" s="89" t="n">
        <x:f>Scoring!V146</x:f>
        <x:v>0.5764090909090909</x:v>
      </x:c>
      <x:c r="E75" s="89" t="n">
        <x:f>ABS(C75-D75)</x:f>
        <x:v>0.09199787374787383</x:v>
      </x:c>
      <x:c r="F75" t="n">
        <x:f>Scoring!U145</x:f>
        <x:v>2</x:v>
      </x:c>
      <x:c r="G75" t="n">
        <x:f>Scoring!U146</x:f>
        <x:v>2</x:v>
      </x:c>
      <x:c r="H75" t="n">
        <x:f>ABS(F75-G75)</x:f>
        <x:v>0</x:v>
      </x:c>
      <x:c r="I75" s="89" t="n">
        <x:f>C75-D75</x:f>
        <x:v>0.09199787374787383</x:v>
      </x:c>
      <x:c r="J75" t="str">
        <x:f>IF(C75&gt;D75,"A",IF(D75&gt;C75,"B","Tie"))</x:f>
        <x:v>A</x:v>
      </x:c>
    </x:row>
    <x:row r="76">
      <x:c r="A76" t="n">
        <x:v>73</x:v>
      </x:c>
      <x:c r="B76" t="str">
        <x:v>Mattress</x:v>
      </x:c>
      <x:c r="C76" s="89" t="n">
        <x:f>Scoring!V147</x:f>
        <x:v>0.7061604278074866</x:v>
      </x:c>
      <x:c r="D76" s="89" t="n">
        <x:f>Scoring!V148</x:f>
        <x:v>0.7486083213773315</x:v>
      </x:c>
      <x:c r="E76" s="89" t="n">
        <x:f>ABS(C76-D76)</x:f>
        <x:v>0.04244789356984491</x:v>
      </x:c>
      <x:c r="F76" t="n">
        <x:f>Scoring!U147</x:f>
        <x:v>2</x:v>
      </x:c>
      <x:c r="G76" t="n">
        <x:f>Scoring!U148</x:f>
        <x:v>1</x:v>
      </x:c>
      <x:c r="H76" t="n">
        <x:f>ABS(F76-G76)</x:f>
        <x:v>1</x:v>
      </x:c>
      <x:c r="I76" s="89" t="n">
        <x:f>C76-D76</x:f>
        <x:v>-0.04244789356984491</x:v>
      </x:c>
      <x:c r="J76" t="str">
        <x:f>IF(C76&gt;D76,"A",IF(D76&gt;C76,"B","Tie"))</x:f>
        <x:v>B</x:v>
      </x:c>
    </x:row>
    <x:row r="77">
      <x:c r="A77" t="n">
        <x:v>74</x:v>
      </x:c>
      <x:c r="B77" t="str">
        <x:v>Bicycle</x:v>
      </x:c>
      <x:c r="C77" s="89" t="n">
        <x:f>Scoring!V149</x:f>
        <x:v>0.7136854741896758</x:v>
      </x:c>
      <x:c r="D77" s="89" t="n">
        <x:f>Scoring!V150</x:f>
        <x:v>0.6559538950715421</x:v>
      </x:c>
      <x:c r="E77" s="89" t="n">
        <x:f>ABS(C77-D77)</x:f>
        <x:v>0.05773157911813365</x:v>
      </x:c>
      <x:c r="F77" t="n">
        <x:f>Scoring!U149</x:f>
        <x:v>2</x:v>
      </x:c>
      <x:c r="G77" t="n">
        <x:f>Scoring!U150</x:f>
        <x:v>2</x:v>
      </x:c>
      <x:c r="H77" t="n">
        <x:f>ABS(F77-G77)</x:f>
        <x:v>0</x:v>
      </x:c>
      <x:c r="I77" s="89" t="n">
        <x:f>C77-D77</x:f>
        <x:v>0.05773157911813365</x:v>
      </x:c>
      <x:c r="J77" t="str">
        <x:f>IF(C77&gt;D77,"A",IF(D77&gt;C77,"B","Tie"))</x:f>
        <x:v>A</x:v>
      </x:c>
    </x:row>
    <x:row r="78">
      <x:c r="A78" t="n">
        <x:v>75</x:v>
      </x:c>
      <x:c r="B78" t="str">
        <x:v>Washing Machine</x:v>
      </x:c>
      <x:c r="C78" s="89" t="n">
        <x:f>Scoring!V151</x:f>
        <x:v>0.7889083710407241</x:v>
      </x:c>
      <x:c r="D78" s="89" t="n">
        <x:f>Scoring!V152</x:f>
        <x:v>0.6499090909090909</x:v>
      </x:c>
      <x:c r="E78" s="89" t="n">
        <x:f>ABS(C78-D78)</x:f>
        <x:v>0.1389992801316332</x:v>
      </x:c>
      <x:c r="F78" t="n">
        <x:f>Scoring!U151</x:f>
        <x:v>2</x:v>
      </x:c>
      <x:c r="G78" t="n">
        <x:f>Scoring!U152</x:f>
        <x:v>2</x:v>
      </x:c>
      <x:c r="H78" t="n">
        <x:f>ABS(F78-G78)</x:f>
        <x:v>0</x:v>
      </x:c>
      <x:c r="I78" s="89" t="n">
        <x:f>C78-D78</x:f>
        <x:v>0.1389992801316332</x:v>
      </x:c>
      <x:c r="J78" t="str">
        <x:f>IF(C78&gt;D78,"A",IF(D78&gt;C78,"B","Tie"))</x:f>
        <x:v>A</x:v>
      </x:c>
    </x:row>
    <x:row r="79">
      <x:c r="A79" t="n">
        <x:v>76</x:v>
      </x:c>
      <x:c r="B79" t="str">
        <x:v>Protein Powder</x:v>
      </x:c>
      <x:c r="C79" s="89" t="n">
        <x:f>Scoring!V153</x:f>
        <x:v>0.6953185328185327</x:v>
      </x:c>
      <x:c r="D79" s="89" t="n">
        <x:f>Scoring!V154</x:f>
        <x:v>0.8298653846153847</x:v>
      </x:c>
      <x:c r="E79" s="89" t="n">
        <x:f>ABS(C79-D79)</x:f>
        <x:v>0.134546851796852</x:v>
      </x:c>
      <x:c r="F79" t="n">
        <x:f>Scoring!U153</x:f>
        <x:v>2</x:v>
      </x:c>
      <x:c r="G79" t="n">
        <x:f>Scoring!U154</x:f>
        <x:v>2</x:v>
      </x:c>
      <x:c r="H79" t="n">
        <x:f>ABS(F79-G79)</x:f>
        <x:v>0</x:v>
      </x:c>
      <x:c r="I79" s="89" t="n">
        <x:f>C79-D79</x:f>
        <x:v>-0.134546851796852</x:v>
      </x:c>
      <x:c r="J79" t="str">
        <x:f>IF(C79&gt;D79,"A",IF(D79&gt;C79,"B","Tie"))</x:f>
        <x:v>B</x:v>
      </x:c>
    </x:row>
    <x:row r="80">
      <x:c r="A80" t="n">
        <x:v>77</x:v>
      </x:c>
      <x:c r="B80" t="str">
        <x:v>Camping Tent</x:v>
      </x:c>
      <x:c r="C80" s="89" t="n">
        <x:f>Scoring!V155</x:f>
        <x:v>0.7336933797909407</x:v>
      </x:c>
      <x:c r="D80" s="89" t="n">
        <x:f>Scoring!V156</x:f>
        <x:v>0.7375362318840579</x:v>
      </x:c>
      <x:c r="E80" s="89" t="n">
        <x:f>ABS(C80-D80)</x:f>
        <x:v>0.0038428520931171883</x:v>
      </x:c>
      <x:c r="F80" t="n">
        <x:f>Scoring!U155</x:f>
        <x:v>2</x:v>
      </x:c>
      <x:c r="G80" t="n">
        <x:f>Scoring!U156</x:f>
        <x:v>2</x:v>
      </x:c>
      <x:c r="H80" t="n">
        <x:f>ABS(F80-G80)</x:f>
        <x:v>0</x:v>
      </x:c>
      <x:c r="I80" s="89" t="n">
        <x:f>C80-D80</x:f>
        <x:v>-0.0038428520931171883</x:v>
      </x:c>
      <x:c r="J80" t="str">
        <x:f>IF(C80&gt;D80,"A",IF(D80&gt;C80,"B","Tie"))</x:f>
        <x:v>B</x:v>
      </x:c>
    </x:row>
    <x:row r="81">
      <x:c r="A81" t="n">
        <x:v>78</x:v>
      </x:c>
      <x:c r="B81" t="str">
        <x:v>Refrigerator</x:v>
      </x:c>
      <x:c r="C81" s="89" t="n">
        <x:f>Scoring!V157</x:f>
        <x:v>0.7959671945701358</x:v>
      </x:c>
      <x:c r="D81" s="89" t="n">
        <x:f>Scoring!V158</x:f>
        <x:v>0.63425</x:v>
      </x:c>
      <x:c r="E81" s="89" t="n">
        <x:f>ABS(C81-D81)</x:f>
        <x:v>0.16171719457013578</x:v>
      </x:c>
      <x:c r="F81" t="n">
        <x:f>Scoring!U157</x:f>
        <x:v>2</x:v>
      </x:c>
      <x:c r="G81" t="n">
        <x:f>Scoring!U158</x:f>
        <x:v>2</x:v>
      </x:c>
      <x:c r="H81" t="n">
        <x:f>ABS(F81-G81)</x:f>
        <x:v>0</x:v>
      </x:c>
      <x:c r="I81" s="89" t="n">
        <x:f>C81-D81</x:f>
        <x:v>0.16171719457013578</x:v>
      </x:c>
      <x:c r="J81" t="str">
        <x:f>IF(C81&gt;D81,"A",IF(D81&gt;C81,"B","Tie"))</x:f>
        <x:v>A</x:v>
      </x:c>
    </x:row>
    <x:row r="82">
      <x:c r="A82" t="n">
        <x:v>79</x:v>
      </x:c>
      <x:c r="B82" t="str">
        <x:v>Desk Lamp</x:v>
      </x:c>
      <x:c r="C82" s="89" t="n">
        <x:f>Scoring!V159</x:f>
        <x:v>0.7556363636363636</x:v>
      </x:c>
      <x:c r="D82" s="89" t="n">
        <x:f>Scoring!V160</x:f>
        <x:v>0.7263414634146342</x:v>
      </x:c>
      <x:c r="E82" s="89" t="n">
        <x:f>ABS(C82-D82)</x:f>
        <x:v>0.029294900221729314</x:v>
      </x:c>
      <x:c r="F82" t="n">
        <x:f>Scoring!U159</x:f>
        <x:v>2</x:v>
      </x:c>
      <x:c r="G82" t="n">
        <x:f>Scoring!U160</x:f>
        <x:v>1</x:v>
      </x:c>
      <x:c r="H82" t="n">
        <x:f>ABS(F82-G82)</x:f>
        <x:v>1</x:v>
      </x:c>
      <x:c r="I82" s="89" t="n">
        <x:f>C82-D82</x:f>
        <x:v>0.029294900221729314</x:v>
      </x:c>
      <x:c r="J82" t="str">
        <x:f>IF(C82&gt;D82,"A",IF(D82&gt;C82,"B","Tie"))</x:f>
        <x:v>A</x:v>
      </x:c>
    </x:row>
    <x:row r="83">
      <x:c r="A83" t="n">
        <x:v>80</x:v>
      </x:c>
      <x:c r="B83" t="str">
        <x:v>Bicycle Helmet</x:v>
      </x:c>
      <x:c r="C83" s="89" t="n">
        <x:f>Scoring!V161</x:f>
        <x:v>0.6884794672586015</x:v>
      </x:c>
      <x:c r="D83" s="89" t="n">
        <x:f>Scoring!V162</x:f>
        <x:v>0.6218798848210613</x:v>
      </x:c>
      <x:c r="E83" s="89" t="n">
        <x:f>ABS(C83-D83)</x:f>
        <x:v>0.06659958243754027</x:v>
      </x:c>
      <x:c r="F83" t="n">
        <x:f>Scoring!U161</x:f>
        <x:v>2</x:v>
      </x:c>
      <x:c r="G83" t="n">
        <x:f>Scoring!U162</x:f>
        <x:v>2</x:v>
      </x:c>
      <x:c r="H83" t="n">
        <x:f>ABS(F83-G83)</x:f>
        <x:v>0</x:v>
      </x:c>
      <x:c r="I83" s="89" t="n">
        <x:f>C83-D83</x:f>
        <x:v>0.06659958243754027</x:v>
      </x:c>
      <x:c r="J83" t="str">
        <x:f>IF(C83&gt;D83,"A",IF(D83&gt;C83,"B","Tie"))</x:f>
        <x:v>A</x:v>
      </x:c>
    </x:row>
    <x:row r="84">
      <x:c r="A84" t="n">
        <x:v>81</x:v>
      </x:c>
      <x:c r="B84" t="str">
        <x:v>Running Shoes</x:v>
      </x:c>
      <x:c r="C84" s="89" t="n">
        <x:f>Scoring!V163</x:f>
        <x:v>0.7204</x:v>
      </x:c>
      <x:c r="D84" s="89" t="n">
        <x:f>Scoring!V164</x:f>
        <x:v>0.7002612481857765</x:v>
      </x:c>
      <x:c r="E84" s="89" t="n">
        <x:f>ABS(C84-D84)</x:f>
        <x:v>0.020138751814223532</x:v>
      </x:c>
      <x:c r="F84" t="n">
        <x:f>Scoring!U163</x:f>
        <x:v>1</x:v>
      </x:c>
      <x:c r="G84" t="n">
        <x:f>Scoring!U164</x:f>
        <x:v>2</x:v>
      </x:c>
      <x:c r="H84" t="n">
        <x:f>ABS(F84-G84)</x:f>
        <x:v>1</x:v>
      </x:c>
      <x:c r="I84" s="89" t="n">
        <x:f>C84-D84</x:f>
        <x:v>0.020138751814223532</x:v>
      </x:c>
      <x:c r="J84" t="str">
        <x:f>IF(C84&gt;D84,"A",IF(D84&gt;C84,"B","Tie"))</x:f>
        <x:v>A</x:v>
      </x:c>
    </x:row>
    <x:row r="85">
      <x:c r="A85" t="n">
        <x:v>82</x:v>
      </x:c>
      <x:c r="B85" t="str">
        <x:v>Coffee Machines</x:v>
      </x:c>
      <x:c r="C85" s="89" t="n">
        <x:f>Scoring!V165</x:f>
        <x:v>0.7971084337349397</x:v>
      </x:c>
      <x:c r="D85" s="89" t="n">
        <x:f>Scoring!V166</x:f>
        <x:v>0.7453571428571429</x:v>
      </x:c>
      <x:c r="E85" s="89" t="n">
        <x:f>ABS(C85-D85)</x:f>
        <x:v>0.05175129087779673</x:v>
      </x:c>
      <x:c r="F85" t="n">
        <x:f>Scoring!U165</x:f>
        <x:v>2</x:v>
      </x:c>
      <x:c r="G85" t="n">
        <x:f>Scoring!U166</x:f>
        <x:v>1</x:v>
      </x:c>
      <x:c r="H85" t="n">
        <x:f>ABS(F85-G85)</x:f>
        <x:v>1</x:v>
      </x:c>
      <x:c r="I85" s="89" t="n">
        <x:f>C85-D85</x:f>
        <x:v>0.05175129087779673</x:v>
      </x:c>
      <x:c r="J85" t="str">
        <x:f>IF(C85&gt;D85,"A",IF(D85&gt;C85,"B","Tie"))</x:f>
        <x:v>A</x:v>
      </x:c>
    </x:row>
    <x:row r="86">
      <x:c r="A86" t="n">
        <x:v>83</x:v>
      </x:c>
      <x:c r="B86" t="str">
        <x:v>Smartwatch</x:v>
      </x:c>
      <x:c r="C86" s="89" t="n">
        <x:f>Scoring!V167</x:f>
        <x:v>0.7011428571428572</x:v>
      </x:c>
      <x:c r="D86" s="89" t="n">
        <x:f>Scoring!V168</x:f>
        <x:v>0.5626666666666666</x:v>
      </x:c>
      <x:c r="E86" s="89" t="n">
        <x:f>ABS(C86-D86)</x:f>
        <x:v>0.13847619047619053</x:v>
      </x:c>
      <x:c r="F86" t="n">
        <x:f>Scoring!U167</x:f>
        <x:v>2</x:v>
      </x:c>
      <x:c r="G86" t="n">
        <x:f>Scoring!U168</x:f>
        <x:v>2</x:v>
      </x:c>
      <x:c r="H86" t="n">
        <x:f>ABS(F86-G86)</x:f>
        <x:v>0</x:v>
      </x:c>
      <x:c r="I86" s="89" t="n">
        <x:f>C86-D86</x:f>
        <x:v>0.13847619047619053</x:v>
      </x:c>
      <x:c r="J86" t="str">
        <x:f>IF(C86&gt;D86,"A",IF(D86&gt;C86,"B","Tie"))</x:f>
        <x:v>A</x:v>
      </x:c>
    </x:row>
    <x:row r="87">
      <x:c r="A87" t="n">
        <x:v>84</x:v>
      </x:c>
      <x:c r="B87" t="str">
        <x:v>Laptop</x:v>
      </x:c>
      <x:c r="C87" s="89" t="n">
        <x:f>Scoring!V169</x:f>
        <x:v>0.6542713903743315</x:v>
      </x:c>
      <x:c r="D87" s="89" t="n">
        <x:f>Scoring!V170</x:f>
        <x:v>0.6984663865546218</x:v>
      </x:c>
      <x:c r="E87" s="89" t="n">
        <x:f>ABS(C87-D87)</x:f>
        <x:v>0.044194996180290325</x:v>
      </x:c>
      <x:c r="F87" t="n">
        <x:f>Scoring!U169</x:f>
        <x:v>2</x:v>
      </x:c>
      <x:c r="G87" t="n">
        <x:f>Scoring!U170</x:f>
        <x:v>2</x:v>
      </x:c>
      <x:c r="H87" t="n">
        <x:f>ABS(F87-G87)</x:f>
        <x:v>0</x:v>
      </x:c>
      <x:c r="I87" s="89" t="n">
        <x:f>C87-D87</x:f>
        <x:v>-0.044194996180290325</x:v>
      </x:c>
      <x:c r="J87" t="str">
        <x:f>IF(C87&gt;D87,"A",IF(D87&gt;C87,"B","Tie"))</x:f>
        <x:v>B</x:v>
      </x:c>
    </x:row>
    <x:row r="88">
      <x:c r="A88" t="n">
        <x:v>85</x:v>
      </x:c>
      <x:c r="B88" t="str">
        <x:v>Home Paint</x:v>
      </x:c>
      <x:c r="C88" s="89" t="n">
        <x:f>Scoring!V171</x:f>
        <x:v>0.6683289124668436</x:v>
      </x:c>
      <x:c r="D88" s="89" t="n">
        <x:f>Scoring!V172</x:f>
        <x:v>0.7693999999999999</x:v>
      </x:c>
      <x:c r="E88" s="89" t="n">
        <x:f>ABS(C88-D88)</x:f>
        <x:v>0.1010710875331563</x:v>
      </x:c>
      <x:c r="F88" t="n">
        <x:f>Scoring!U171</x:f>
        <x:v>2</x:v>
      </x:c>
      <x:c r="G88" t="n">
        <x:f>Scoring!U172</x:f>
        <x:v>2</x:v>
      </x:c>
      <x:c r="H88" t="n">
        <x:f>ABS(F88-G88)</x:f>
        <x:v>0</x:v>
      </x:c>
      <x:c r="I88" s="89" t="n">
        <x:f>C88-D88</x:f>
        <x:v>-0.1010710875331563</x:v>
      </x:c>
      <x:c r="J88" t="str">
        <x:f>IF(C88&gt;D88,"A",IF(D88&gt;C88,"B","Tie"))</x:f>
        <x:v>B</x:v>
      </x:c>
    </x:row>
    <x:row r="89">
      <x:c r="A89" t="n">
        <x:v>86</x:v>
      </x:c>
      <x:c r="B89" t="str">
        <x:v>Backpack</x:v>
      </x:c>
      <x:c r="C89" s="89" t="n">
        <x:f>Scoring!V173</x:f>
        <x:v>0.7724377828054299</x:v>
      </x:c>
      <x:c r="D89" s="89" t="n">
        <x:f>Scoring!V174</x:f>
        <x:v>0.8306117021276596</x:v>
      </x:c>
      <x:c r="E89" s="89" t="n">
        <x:f>ABS(C89-D89)</x:f>
        <x:v>0.058173919322229706</x:v>
      </x:c>
      <x:c r="F89" t="n">
        <x:f>Scoring!U173</x:f>
        <x:v>2</x:v>
      </x:c>
      <x:c r="G89" t="n">
        <x:f>Scoring!U174</x:f>
        <x:v>2</x:v>
      </x:c>
      <x:c r="H89" t="n">
        <x:f>ABS(F89-G89)</x:f>
        <x:v>0</x:v>
      </x:c>
      <x:c r="I89" s="89" t="n">
        <x:f>C89-D89</x:f>
        <x:v>-0.058173919322229706</x:v>
      </x:c>
      <x:c r="J89" t="str">
        <x:f>IF(C89&gt;D89,"A",IF(D89&gt;C89,"B","Tie"))</x:f>
        <x:v>B</x:v>
      </x:c>
    </x:row>
    <x:row r="90">
      <x:c r="A90" t="n">
        <x:v>87</x:v>
      </x:c>
      <x:c r="B90" t="str">
        <x:v>Television</x:v>
      </x:c>
      <x:c r="C90" s="89" t="n">
        <x:f>Scoring!V175</x:f>
        <x:v>0.6896428571428571</x:v>
      </x:c>
      <x:c r="D90" s="89" t="n">
        <x:f>Scoring!V176</x:f>
        <x:v>0.7095</x:v>
      </x:c>
      <x:c r="E90" s="89" t="n">
        <x:f>ABS(C90-D90)</x:f>
        <x:v>0.019857142857142907</x:v>
      </x:c>
      <x:c r="F90" t="n">
        <x:f>Scoring!U175</x:f>
        <x:v>2</x:v>
      </x:c>
      <x:c r="G90" t="n">
        <x:f>Scoring!U176</x:f>
        <x:v>2</x:v>
      </x:c>
      <x:c r="H90" t="n">
        <x:f>ABS(F90-G90)</x:f>
        <x:v>0</x:v>
      </x:c>
      <x:c r="I90" s="89" t="n">
        <x:f>C90-D90</x:f>
        <x:v>-0.019857142857142907</x:v>
      </x:c>
      <x:c r="J90" t="str">
        <x:f>IF(C90&gt;D90,"A",IF(D90&gt;C90,"B","Tie"))</x:f>
        <x:v>B</x:v>
      </x:c>
    </x:row>
    <x:row r="91">
      <x:c r="A91" t="n">
        <x:v>88</x:v>
      </x:c>
      <x:c r="B91" t="str">
        <x:v>Sunscreen</x:v>
      </x:c>
      <x:c r="C91" s="89" t="n">
        <x:f>Scoring!V177</x:f>
        <x:v>0.8137651821862348</x:v>
      </x:c>
      <x:c r="D91" s="89" t="n">
        <x:f>Scoring!V178</x:f>
        <x:v>0.7435714285714284</x:v>
      </x:c>
      <x:c r="E91" s="89" t="n">
        <x:f>ABS(C91-D91)</x:f>
        <x:v>0.0701937536148064</x:v>
      </x:c>
      <x:c r="F91" t="n">
        <x:f>Scoring!U177</x:f>
        <x:v>2</x:v>
      </x:c>
      <x:c r="G91" t="n">
        <x:f>Scoring!U178</x:f>
        <x:v>2</x:v>
      </x:c>
      <x:c r="H91" t="n">
        <x:f>ABS(F91-G91)</x:f>
        <x:v>0</x:v>
      </x:c>
      <x:c r="I91" s="89" t="n">
        <x:f>C91-D91</x:f>
        <x:v>0.0701937536148064</x:v>
      </x:c>
      <x:c r="J91" t="str">
        <x:f>IF(C91&gt;D91,"A",IF(D91&gt;C91,"B","Tie"))</x:f>
        <x:v>A</x:v>
      </x:c>
    </x:row>
    <x:row r="92">
      <x:c r="A92" t="n">
        <x:v>89</x:v>
      </x:c>
      <x:c r="B92" t="str">
        <x:v>Air Purifier</x:v>
      </x:c>
      <x:c r="C92" s="89" t="n">
        <x:f>Scoring!V179</x:f>
        <x:v>0.6817481203007518</x:v>
      </x:c>
      <x:c r="D92" s="89" t="n">
        <x:f>Scoring!V180</x:f>
        <x:v>0.682372273249139</x:v>
      </x:c>
      <x:c r="E92" s="89" t="n">
        <x:f>ABS(C92-D92)</x:f>
        <x:v>0.0006241529483871355</x:v>
      </x:c>
      <x:c r="F92" t="n">
        <x:f>Scoring!U179</x:f>
        <x:v>2</x:v>
      </x:c>
      <x:c r="G92" t="n">
        <x:f>Scoring!U180</x:f>
        <x:v>2</x:v>
      </x:c>
      <x:c r="H92" t="n">
        <x:f>ABS(F92-G92)</x:f>
        <x:v>0</x:v>
      </x:c>
      <x:c r="I92" s="89" t="n">
        <x:f>C92-D92</x:f>
        <x:v>-0.0006241529483871355</x:v>
      </x:c>
      <x:c r="J92" t="str">
        <x:f>IF(C92&gt;D92,"A",IF(D92&gt;C92,"B","Tie"))</x:f>
        <x:v>B</x:v>
      </x:c>
    </x:row>
    <x:row r="93">
      <x:c r="A93" t="n">
        <x:v>90</x:v>
      </x:c>
      <x:c r="B93" t="str">
        <x:v>Electric Pressure Cooker</x:v>
      </x:c>
      <x:c r="C93" s="89" t="n">
        <x:f>Scoring!V181</x:f>
        <x:v>0.7156883116883117</x:v>
      </x:c>
      <x:c r="D93" s="89" t="n">
        <x:f>Scoring!V182</x:f>
        <x:v>0.8550931677018633</x:v>
      </x:c>
      <x:c r="E93" s="89" t="n">
        <x:f>ABS(C93-D93)</x:f>
        <x:v>0.13940485601355157</x:v>
      </x:c>
      <x:c r="F93" t="n">
        <x:f>Scoring!U181</x:f>
        <x:v>1</x:v>
      </x:c>
      <x:c r="G93" t="n">
        <x:f>Scoring!U182</x:f>
        <x:v>1</x:v>
      </x:c>
      <x:c r="H93" t="n">
        <x:f>ABS(F93-G93)</x:f>
        <x:v>0</x:v>
      </x:c>
      <x:c r="I93" s="89" t="n">
        <x:f>C93-D93</x:f>
        <x:v>-0.13940485601355157</x:v>
      </x:c>
      <x:c r="J93" t="str">
        <x:f>IF(C93&gt;D93,"A",IF(D93&gt;C93,"B","Tie"))</x:f>
        <x:v>B</x:v>
      </x:c>
    </x:row>
    <x:row r="94">
      <x:c r="A94" t="n">
        <x:v>91</x:v>
      </x:c>
      <x:c r="B94" t="str">
        <x:v>Office Chair</x:v>
      </x:c>
      <x:c r="C94" s="89" t="n">
        <x:f>Scoring!V183</x:f>
        <x:v>0.6944230769230769</x:v>
      </x:c>
      <x:c r="D94" s="89" t="n">
        <x:f>Scoring!V184</x:f>
        <x:v>0.7411111111111112</x:v>
      </x:c>
      <x:c r="E94" s="89" t="n">
        <x:f>ABS(C94-D94)</x:f>
        <x:v>0.046688034188034244</x:v>
      </x:c>
      <x:c r="F94" t="n">
        <x:f>Scoring!U183</x:f>
        <x:v>2</x:v>
      </x:c>
      <x:c r="G94" t="n">
        <x:f>Scoring!U184</x:f>
        <x:v>1</x:v>
      </x:c>
      <x:c r="H94" t="n">
        <x:f>ABS(F94-G94)</x:f>
        <x:v>1</x:v>
      </x:c>
      <x:c r="I94" s="89" t="n">
        <x:f>C94-D94</x:f>
        <x:v>-0.046688034188034244</x:v>
      </x:c>
      <x:c r="J94" t="str">
        <x:f>IF(C94&gt;D94,"A",IF(D94&gt;C94,"B","Tie"))</x:f>
        <x:v>B</x:v>
      </x:c>
    </x:row>
    <x:row r="95">
      <x:c r="A95" t="n">
        <x:v>92</x:v>
      </x:c>
      <x:c r="B95" t="str">
        <x:v>Refrigerator Water Filters</x:v>
      </x:c>
      <x:c r="C95" s="89" t="n">
        <x:f>Scoring!V185</x:f>
        <x:v>0.6602857142857144</x:v>
      </x:c>
      <x:c r="D95" s="89" t="n">
        <x:f>Scoring!V186</x:f>
        <x:v>0.8842105263157894</x:v>
      </x:c>
      <x:c r="E95" s="89" t="n">
        <x:f>ABS(C95-D95)</x:f>
        <x:v>0.22392481203007508</x:v>
      </x:c>
      <x:c r="F95" t="n">
        <x:f>Scoring!U185</x:f>
        <x:v>2</x:v>
      </x:c>
      <x:c r="G95" t="n">
        <x:f>Scoring!U186</x:f>
        <x:v>1</x:v>
      </x:c>
      <x:c r="H95" t="n">
        <x:f>ABS(F95-G95)</x:f>
        <x:v>1</x:v>
      </x:c>
      <x:c r="I95" s="89" t="n">
        <x:f>C95-D95</x:f>
        <x:v>-0.22392481203007508</x:v>
      </x:c>
      <x:c r="J95" t="str">
        <x:f>IF(C95&gt;D95,"A",IF(D95&gt;C95,"B","Tie"))</x:f>
        <x:v>B</x:v>
      </x:c>
    </x:row>
    <x:row r="96">
      <x:c r="A96" t="n">
        <x:v>93</x:v>
      </x:c>
      <x:c r="B96" t="str">
        <x:v>Home Router</x:v>
      </x:c>
      <x:c r="C96" s="89" t="n">
        <x:f>Scoring!V187</x:f>
        <x:v>0.6996428571428571</x:v>
      </x:c>
      <x:c r="D96" s="89" t="n">
        <x:f>Scoring!V188</x:f>
        <x:v>0.8250150905432596</x:v>
      </x:c>
      <x:c r="E96" s="89" t="n">
        <x:f>ABS(C96-D96)</x:f>
        <x:v>0.1253722334004025</x:v>
      </x:c>
      <x:c r="F96" t="n">
        <x:f>Scoring!U187</x:f>
        <x:v>2</x:v>
      </x:c>
      <x:c r="G96" t="n">
        <x:f>Scoring!U188</x:f>
        <x:v>2</x:v>
      </x:c>
      <x:c r="H96" t="n">
        <x:f>ABS(F96-G96)</x:f>
        <x:v>0</x:v>
      </x:c>
      <x:c r="I96" s="89" t="n">
        <x:f>C96-D96</x:f>
        <x:v>-0.1253722334004025</x:v>
      </x:c>
      <x:c r="J96" t="str">
        <x:f>IF(C96&gt;D96,"A",IF(D96&gt;C96,"B","Tie"))</x:f>
        <x:v>B</x:v>
      </x:c>
    </x:row>
    <x:row r="97">
      <x:c r="A97" t="n">
        <x:v>94</x:v>
      </x:c>
      <x:c r="B97" t="str">
        <x:v>Garden Lawn Mower</x:v>
      </x:c>
      <x:c r="C97" s="89" t="n">
        <x:f>Scoring!V189</x:f>
        <x:v>0.7000000000000001</x:v>
      </x:c>
      <x:c r="D97" s="89" t="n">
        <x:f>Scoring!V190</x:f>
        <x:v>0.6961428571428571</x:v>
      </x:c>
      <x:c r="E97" s="89" t="n">
        <x:f>ABS(C97-D97)</x:f>
        <x:v>0.0038571428571430033</x:v>
      </x:c>
      <x:c r="F97" t="n">
        <x:f>Scoring!U189</x:f>
        <x:v>2</x:v>
      </x:c>
      <x:c r="G97" t="n">
        <x:f>Scoring!U190</x:f>
        <x:v>2</x:v>
      </x:c>
      <x:c r="H97" t="n">
        <x:f>ABS(F97-G97)</x:f>
        <x:v>0</x:v>
      </x:c>
      <x:c r="I97" s="89" t="n">
        <x:f>C97-D97</x:f>
        <x:v>0.0038571428571430033</x:v>
      </x:c>
      <x:c r="J97" t="str">
        <x:f>IF(C97&gt;D97,"A",IF(D97&gt;C97,"B","Tie"))</x:f>
        <x:v>A</x:v>
      </x:c>
    </x:row>
    <x:row r="98">
      <x:c r="A98" t="n">
        <x:v>95</x:v>
      </x:c>
      <x:c r="B98" t="str">
        <x:v>Travel Luggage</x:v>
      </x:c>
      <x:c r="C98" s="89" t="n">
        <x:f>Scoring!V191</x:f>
        <x:v>0.633</x:v>
      </x:c>
      <x:c r="D98" s="89" t="n">
        <x:f>Scoring!V192</x:f>
        <x:v>0.7724318181818182</x:v>
      </x:c>
      <x:c r="E98" s="89" t="n">
        <x:f>ABS(C98-D98)</x:f>
        <x:v>0.13943181818181816</x:v>
      </x:c>
      <x:c r="F98" t="n">
        <x:f>Scoring!U191</x:f>
        <x:v>2</x:v>
      </x:c>
      <x:c r="G98" t="n">
        <x:f>Scoring!U192</x:f>
        <x:v>2</x:v>
      </x:c>
      <x:c r="H98" t="n">
        <x:f>ABS(F98-G98)</x:f>
        <x:v>0</x:v>
      </x:c>
      <x:c r="I98" s="89" t="n">
        <x:f>C98-D98</x:f>
        <x:v>-0.13943181818181816</x:v>
      </x:c>
      <x:c r="J98" t="str">
        <x:f>IF(C98&gt;D98,"A",IF(D98&gt;C98,"B","Tie"))</x:f>
        <x:v>B</x:v>
      </x:c>
    </x:row>
    <x:row r="99">
      <x:c r="A99" t="n">
        <x:v>96</x:v>
      </x:c>
      <x:c r="B99" t="str">
        <x:v>Food Delivery Service</x:v>
      </x:c>
      <x:c r="C99" s="89" t="n">
        <x:f>Scoring!V193</x:f>
        <x:v>0.8653441295546558</x:v>
      </x:c>
      <x:c r="D99" s="89" t="n">
        <x:f>Scoring!V194</x:f>
        <x:v>0.8453441295546558</x:v>
      </x:c>
      <x:c r="E99" s="89" t="n">
        <x:f>ABS(C99-D99)</x:f>
        <x:v>0.020000000000000018</x:v>
      </x:c>
      <x:c r="F99" t="n">
        <x:f>Scoring!U193</x:f>
        <x:v>1</x:v>
      </x:c>
      <x:c r="G99" t="n">
        <x:f>Scoring!U194</x:f>
        <x:v>1</x:v>
      </x:c>
      <x:c r="H99" t="n">
        <x:f>ABS(F99-G99)</x:f>
        <x:v>0</x:v>
      </x:c>
      <x:c r="I99" s="89" t="n">
        <x:f>C99-D99</x:f>
        <x:v>0.020000000000000018</x:v>
      </x:c>
      <x:c r="J99" t="str">
        <x:f>IF(C99&gt;D99,"A",IF(D99&gt;C99,"B","Tie"))</x:f>
        <x:v>A</x:v>
      </x:c>
    </x:row>
    <x:row r="100">
      <x:c r="A100" t="n">
        <x:v>97</x:v>
      </x:c>
      <x:c r="B100" t="str">
        <x:v>Online Learning Platforms</x:v>
      </x:c>
      <x:c r="C100" s="89" t="n">
        <x:f>Scoring!V195</x:f>
        <x:v>0.608952380952381</x:v>
      </x:c>
      <x:c r="D100" s="89" t="n">
        <x:f>Scoring!V196</x:f>
        <x:v>0.6892857142857142</x:v>
      </x:c>
      <x:c r="E100" s="89" t="n">
        <x:f>ABS(C100-D100)</x:f>
        <x:v>0.08033333333333315</x:v>
      </x:c>
      <x:c r="F100" t="n">
        <x:f>Scoring!U195</x:f>
        <x:v>2</x:v>
      </x:c>
      <x:c r="G100" t="n">
        <x:f>Scoring!U196</x:f>
        <x:v>2</x:v>
      </x:c>
      <x:c r="H100" t="n">
        <x:f>ABS(F100-G100)</x:f>
        <x:v>0</x:v>
      </x:c>
      <x:c r="I100" s="89" t="n">
        <x:f>C100-D100</x:f>
        <x:v>-0.08033333333333315</x:v>
      </x:c>
      <x:c r="J100" t="str">
        <x:f>IF(C100&gt;D100,"A",IF(D100&gt;C100,"B","Tie"))</x:f>
        <x:v>B</x:v>
      </x:c>
    </x:row>
    <x:row r="101">
      <x:c r="A101" t="n">
        <x:v>98</x:v>
      </x:c>
      <x:c r="B101" t="str">
        <x:v>Hotel Booking</x:v>
      </x:c>
      <x:c r="C101" s="89" t="n">
        <x:f>Scoring!V197</x:f>
        <x:v>0.7485365853658537</x:v>
      </x:c>
      <x:c r="D101" s="89" t="n">
        <x:f>Scoring!V198</x:f>
        <x:v>0.6769230769230768</x:v>
      </x:c>
      <x:c r="E101" s="89" t="n">
        <x:f>ABS(C101-D101)</x:f>
        <x:v>0.07161350844277681</x:v>
      </x:c>
      <x:c r="F101" t="n">
        <x:f>Scoring!U197</x:f>
        <x:v>1</x:v>
      </x:c>
      <x:c r="G101" t="n">
        <x:f>Scoring!U198</x:f>
        <x:v>2</x:v>
      </x:c>
      <x:c r="H101" t="n">
        <x:f>ABS(F101-G101)</x:f>
        <x:v>1</x:v>
      </x:c>
      <x:c r="I101" s="89" t="n">
        <x:f>C101-D101</x:f>
        <x:v>0.07161350844277681</x:v>
      </x:c>
      <x:c r="J101" t="str">
        <x:f>IF(C101&gt;D101,"A",IF(D101&gt;C101,"B","Tie"))</x:f>
        <x:v>A</x:v>
      </x:c>
    </x:row>
    <x:row r="102">
      <x:c r="A102" t="n">
        <x:v>99</x:v>
      </x:c>
      <x:c r="B102" t="str">
        <x:v>Mobile Banking App</x:v>
      </x:c>
      <x:c r="C102" s="89" t="n">
        <x:f>Scoring!V199</x:f>
        <x:v>0.6516711590296496</x:v>
      </x:c>
      <x:c r="D102" s="89" t="n">
        <x:f>Scoring!V200</x:f>
        <x:v>0.6961911673232428</x:v>
      </x:c>
      <x:c r="E102" s="89" t="n">
        <x:f>ABS(C102-D102)</x:f>
        <x:v>0.04452000829359326</x:v>
      </x:c>
      <x:c r="F102" t="n">
        <x:f>Scoring!U199</x:f>
        <x:v>2</x:v>
      </x:c>
      <x:c r="G102" t="n">
        <x:f>Scoring!U200</x:f>
        <x:v>2</x:v>
      </x:c>
      <x:c r="H102" t="n">
        <x:f>ABS(F102-G102)</x:f>
        <x:v>0</x:v>
      </x:c>
      <x:c r="I102" s="89" t="n">
        <x:f>C102-D102</x:f>
        <x:v>-0.04452000829359326</x:v>
      </x:c>
      <x:c r="J102" t="str">
        <x:f>IF(C102&gt;D102,"A",IF(D102&gt;C102,"B","Tie"))</x:f>
        <x:v>B</x:v>
      </x:c>
    </x:row>
    <x:row r="103">
      <x:c r="A103" t="n">
        <x:v>100</x:v>
      </x:c>
      <x:c r="B103" t="str">
        <x:v>E-Commerce Marketplace</x:v>
      </x:c>
      <x:c r="C103" s="89" t="n">
        <x:f>Scoring!V201</x:f>
        <x:v>0.7916400580551524</x:v>
      </x:c>
      <x:c r="D103" s="89" t="n">
        <x:f>Scoring!V202</x:f>
        <x:v>0.6923584905660377</x:v>
      </x:c>
      <x:c r="E103" s="89" t="n">
        <x:f>ABS(C103-D103)</x:f>
        <x:v>0.09928156748911465</x:v>
      </x:c>
      <x:c r="F103" t="n">
        <x:f>Scoring!U201</x:f>
        <x:v>2</x:v>
      </x:c>
      <x:c r="G103" t="n">
        <x:f>Scoring!U202</x:f>
        <x:v>2</x:v>
      </x:c>
      <x:c r="H103" t="n">
        <x:f>ABS(F103-G103)</x:f>
        <x:v>0</x:v>
      </x:c>
      <x:c r="I103" s="89" t="n">
        <x:f>C103-D103</x:f>
        <x:v>0.09928156748911465</x:v>
      </x:c>
      <x:c r="J103" t="str">
        <x:f>IF(C103&gt;D103,"A",IF(D103&gt;C103,"B","Tie"))</x:f>
        <x:v>A</x:v>
      </x:c>
    </x:row>
  </x:sheetData>
  <x:mergeCells>
    <x:mergeCell ref="A1:J1"/>
  </x:mergeCells>
  <x:conditionalFormatting sqref="E4:E23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2" hidden="0" customWidth="1"/>
  </x:cols>
  <x:sheetData>
    <x:row r="1">
      <x:c r="A1" s="5" t="str">
        <x:v>Corpus-Level Summary — One Blinded Run</x:v>
      </x:c>
      <x:c r="B1" s="5"/>
      <x:c r="C1" s="5"/>
    </x:row>
    <x:row r="3">
      <x:c r="A3" s="72" t="str">
        <x:v>Metric</x:v>
      </x:c>
      <x:c r="B3" s="72" t="str">
        <x:v>Value</x:v>
      </x:c>
      <x:c r="C3" s="72" t="str">
        <x:v>Notes</x:v>
      </x:c>
    </x:row>
    <x:row r="4">
      <x:c r="A4" s="84" t="str">
        <x:v>Pairs evaluated</x:v>
      </x:c>
      <x:c r="B4" s="84" t="n">
        <x:f>COUNTA('Pair Results'!A4:A103)</x:f>
        <x:v>100</x:v>
      </x:c>
      <x:c r="C4" s="84" t="str">
        <x:v>100 publisher-blind A/B pairs</x:v>
      </x:c>
    </x:row>
    <x:row r="5">
      <x:c r="A5" s="84" t="str">
        <x:v>Mean FS — A</x:v>
      </x:c>
      <x:c r="B5" s="85" t="n">
        <x:f>AVERAGEIF(Scoring!C3:C202,"A",Scoring!V3:V202)</x:f>
        <x:v>0.7976132475103196</x:v>
      </x:c>
      <x:c r="C5" s="84" t="str">
        <x:v>Higher is better</x:v>
      </x:c>
    </x:row>
    <x:row r="6">
      <x:c r="A6" s="84" t="str">
        <x:v>Mean FS — B</x:v>
      </x:c>
      <x:c r="B6" s="85" t="n">
        <x:f>AVERAGEIF(Scoring!C3:C202,"B",Scoring!V3:V202)</x:f>
        <x:v>0.7983757796196349</x:v>
      </x:c>
      <x:c r="C6" s="84" t="str">
        <x:v>Higher is better</x:v>
      </x:c>
    </x:row>
    <x:row r="7">
      <x:c r="A7" s="84" t="str">
        <x:v>Mean Completeness — A</x:v>
      </x:c>
      <x:c r="B7" s="85" t="n">
        <x:f>AVERAGEIF(Scoring!C3:C202,"A",Scoring!R3:R202)</x:f>
        <x:v>0.9136590289225732</x:v>
      </x:c>
      <x:c r="C7" s="84" t="str">
        <x:v>Retained / gold</x:v>
      </x:c>
    </x:row>
    <x:row r="8">
      <x:c r="A8" s="84" t="str">
        <x:v>Mean Completeness — B</x:v>
      </x:c>
      <x:c r="B8" s="85" t="n">
        <x:f>AVERAGEIF(Scoring!C3:C202,"B",Scoring!R3:R202)</x:f>
        <x:v>0.9019160909180255</x:v>
      </x:c>
      <x:c r="C8" s="84" t="str">
        <x:v>Retained / gold</x:v>
      </x:c>
    </x:row>
    <x:row r="9">
      <x:c r="A9" s="84" t="str">
        <x:v>Mean Preservation — A</x:v>
      </x:c>
      <x:c r="B9" s="85" t="n">
        <x:f>AVERAGEIF(Scoring!C3:C202,"A",Scoring!S3:S202)</x:f>
        <x:v>0.9526452330349384</x:v>
      </x:c>
      <x:c r="C9" s="84" t="str">
        <x:v>Accurate / retained</x:v>
      </x:c>
    </x:row>
    <x:row r="10">
      <x:c r="A10" s="84" t="str">
        <x:v>Mean Preservation — B</x:v>
      </x:c>
      <x:c r="B10" s="85" t="n">
        <x:f>AVERAGEIF(Scoring!C3:C202,"B",Scoring!S3:S202)</x:f>
        <x:v>0.9553129917468149</x:v>
      </x:c>
      <x:c r="C10" s="84" t="str">
        <x:v>Accurate / retained</x:v>
      </x:c>
    </x:row>
    <x:row r="11">
      <x:c r="A11" s="84" t="str">
        <x:v>Mean FabScore — A</x:v>
      </x:c>
      <x:c r="B11" s="85" t="n">
        <x:f>AVERAGEIF(Scoring!C3:C202,"A",Scoring!T3:T202)</x:f>
        <x:v>0.13426010358978036</x:v>
      </x:c>
      <x:c r="C11" s="84" t="str">
        <x:v>Lower is better</x:v>
      </x:c>
    </x:row>
    <x:row r="12">
      <x:c r="A12" s="84" t="str">
        <x:v>Mean FabScore — B</x:v>
      </x:c>
      <x:c r="B12" s="85" t="n">
        <x:f>AVERAGEIF(Scoring!C3:C202,"B",Scoring!T3:T202)</x:f>
        <x:v>0.12930981726605859</x:v>
      </x:c>
      <x:c r="C12" s="84" t="str">
        <x:v>Lower is better</x:v>
      </x:c>
    </x:row>
    <x:row r="13">
      <x:c r="A13" s="84" t="str">
        <x:v>Mean FD</x:v>
      </x:c>
      <x:c r="B13" s="85" t="n">
        <x:f>AVERAGE('Pair Results'!E4:E103)</x:f>
        <x:v>0.04267008478427769</x:v>
      </x:c>
      <x:c r="C13" s="84" t="str">
        <x:v>Absolute A/B fidelity disparity</x:v>
      </x:c>
    </x:row>
    <x:row r="14">
      <x:c r="A14" s="84" t="str">
        <x:v>Median FD</x:v>
      </x:c>
      <x:c r="B14" s="85" t="n">
        <x:f>MEDIAN('Pair Results'!E4:E103)</x:f>
        <x:v>0.023487147772862038</x:v>
      </x:c>
      <x:c r="C14" s="84" t="str">
        <x:v>Robust central disparity</x:v>
      </x:c>
    </x:row>
    <x:row r="15">
      <x:c r="A15" s="84" t="str">
        <x:v>Maximum FD</x:v>
      </x:c>
      <x:c r="B15" s="85" t="n">
        <x:f>MAX('Pair Results'!E4:E103)</x:f>
        <x:v>0.22392481203007508</x:v>
      </x:c>
      <x:c r="C15" s="84" t="str">
        <x:v>Largest pair-level disparity</x:v>
      </x:c>
    </x:row>
    <x:row r="16">
      <x:c r="A16" s="84" t="str">
        <x:v>Mean Distortion Gap</x:v>
      </x:c>
      <x:c r="B16" s="85" t="n">
        <x:f>AVERAGE('Pair Results'!H4:H103)</x:f>
        <x:v>0.34</x:v>
      </x:c>
      <x:c r="C16" s="84" t="str">
        <x:v>Diagnostic only</x:v>
      </x:c>
    </x:row>
    <x:row r="17">
      <x:c r="A17" s="84" t="str">
        <x:v>Pairs with A &gt; B</x:v>
      </x:c>
      <x:c r="B17" s="84" t="n">
        <x:f>COUNTIF('Pair Results'!J4:J103,"A")</x:f>
        <x:v>51</x:v>
      </x:c>
      <x:c r="C17" s="84" t="str">
        <x:v>Directional count</x:v>
      </x:c>
    </x:row>
    <x:row r="18">
      <x:c r="A18" s="84" t="str">
        <x:v>Pairs with B &gt; A</x:v>
      </x:c>
      <x:c r="B18" s="84" t="n">
        <x:f>COUNTIF('Pair Results'!J4:J103,"B")</x:f>
        <x:v>49</x:v>
      </x:c>
      <x:c r="C18" s="84" t="str">
        <x:v>Directional count</x:v>
      </x:c>
    </x:row>
    <x:row r="19">
      <x:c r="A19" s="84" t="str">
        <x:v>Ties</x:v>
      </x:c>
      <x:c r="B19" s="84" t="n">
        <x:f>COUNTIF('Pair Results'!J4:J103,"Tie")</x:f>
        <x:v>0</x:v>
      </x:c>
      <x:c r="C19" s="84" t="str">
        <x:v>Directional count</x:v>
      </x:c>
    </x:row>
    <x:row r="20">
      <x:c r="A20" s="84" t="str">
        <x:v>Mean ΔFS (A−B)</x:v>
      </x:c>
      <x:c r="B20" s="85" t="n">
        <x:f>AVERAGE('Pair Results'!I4:I103)</x:f>
        <x:v>-0.0007625321093150583</x:v>
      </x:c>
      <x:c r="C20" s="84" t="str">
        <x:v>Positive favors A; negative favors B</x:v>
      </x:c>
    </x:row>
  </x:sheetData>
  <x:mergeCells>
    <x:mergeCell ref="A1:C1"/>
  </x:mergeCells>
  <x:pageMargins left="0.7" right="0.7" top="0.75" bottom="0.75" header="0.3" footer="0.3"/>
</x:worksheet>
</file>